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Y:\Служба Главного инженера\ОГТ\ЧПУ\"/>
    </mc:Choice>
  </mc:AlternateContent>
  <bookViews>
    <workbookView xWindow="0" yWindow="0" windowWidth="28740" windowHeight="12360" tabRatio="485" activeTab="1"/>
  </bookViews>
  <sheets>
    <sheet name="ФОЦ" sheetId="1" r:id="rId1"/>
    <sheet name="ТОЦ" sheetId="2" r:id="rId2"/>
    <sheet name="ПОЦ" sheetId="3" r:id="rId3"/>
    <sheet name="Акты внедрения" sheetId="4" r:id="rId4"/>
  </sheets>
  <functionGroups builtInGroupCount="18"/>
  <definedNames>
    <definedName name="_xlnm._FilterDatabase" localSheetId="3" hidden="1">'Акты внедрения'!$A$1:$K$58</definedName>
    <definedName name="_xlnm._FilterDatabase" localSheetId="2" hidden="1">ПОЦ!$A$1:$K$73</definedName>
    <definedName name="_xlnm._FilterDatabase" localSheetId="1" hidden="1">ТОЦ!$A$1:$K$91</definedName>
    <definedName name="_xlnm._FilterDatabase" localSheetId="0" hidden="1">ФОЦ!$A$1:$K$145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9" i="1" l="1"/>
  <c r="A128" i="1"/>
  <c r="A127" i="1"/>
  <c r="A126" i="1"/>
  <c r="A125" i="1"/>
  <c r="A124" i="1"/>
  <c r="A123" i="1"/>
  <c r="A154" i="1"/>
  <c r="A153" i="1" l="1"/>
  <c r="A152" i="1" l="1"/>
  <c r="A151" i="1"/>
  <c r="A150" i="1"/>
  <c r="A149" i="1"/>
  <c r="A148" i="1"/>
  <c r="A91" i="2" l="1"/>
  <c r="A90" i="2"/>
  <c r="A89" i="2"/>
  <c r="A88" i="2"/>
  <c r="A87" i="2"/>
  <c r="A73" i="3"/>
  <c r="A72" i="3"/>
  <c r="A71" i="3"/>
  <c r="A70" i="3"/>
  <c r="A69" i="3"/>
  <c r="A68" i="3"/>
  <c r="A67" i="3"/>
  <c r="A122" i="1"/>
  <c r="A121" i="1"/>
  <c r="A147" i="1" l="1"/>
  <c r="A86" i="2" l="1"/>
  <c r="A85" i="2"/>
  <c r="A146" i="1"/>
  <c r="A145" i="1"/>
  <c r="A144" i="1"/>
  <c r="A143" i="1"/>
  <c r="A142" i="1"/>
  <c r="A141" i="1"/>
  <c r="A140" i="1"/>
  <c r="A119" i="1" l="1"/>
  <c r="A120" i="1" l="1"/>
  <c r="A66" i="3" l="1"/>
  <c r="A65" i="3"/>
  <c r="A64" i="3"/>
  <c r="A63" i="3"/>
  <c r="A118" i="1"/>
  <c r="A117" i="1"/>
  <c r="A116" i="1"/>
  <c r="A115" i="1"/>
  <c r="A114" i="1"/>
  <c r="A113" i="1"/>
  <c r="A111" i="1"/>
  <c r="A112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89" i="1"/>
  <c r="A88" i="1"/>
  <c r="A87" i="1"/>
  <c r="A86" i="1"/>
  <c r="A85" i="1"/>
  <c r="A84" i="1"/>
  <c r="A139" i="1"/>
  <c r="A83" i="1"/>
  <c r="A82" i="1"/>
  <c r="A81" i="1"/>
  <c r="A80" i="1"/>
  <c r="A79" i="1"/>
  <c r="A78" i="1"/>
  <c r="A75" i="1"/>
  <c r="A74" i="1"/>
  <c r="A73" i="1"/>
  <c r="A72" i="1"/>
  <c r="A56" i="1"/>
  <c r="A55" i="1"/>
  <c r="A54" i="1"/>
  <c r="A42" i="1"/>
  <c r="A39" i="1"/>
  <c r="A38" i="1"/>
  <c r="A37" i="1"/>
  <c r="A36" i="1"/>
  <c r="A35" i="1"/>
  <c r="A34" i="1"/>
  <c r="A29" i="1"/>
  <c r="A28" i="1"/>
  <c r="A27" i="1"/>
  <c r="A26" i="1"/>
  <c r="A25" i="1"/>
  <c r="A23" i="1"/>
  <c r="A22" i="1"/>
  <c r="A21" i="1"/>
  <c r="A20" i="1"/>
  <c r="A12" i="1"/>
  <c r="A11" i="1"/>
  <c r="A10" i="1"/>
  <c r="A9" i="1"/>
  <c r="A8" i="1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 l="1"/>
  <c r="A19" i="1" l="1"/>
  <c r="A24" i="1"/>
  <c r="A57" i="3" l="1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63" i="2"/>
  <c r="A62" i="2"/>
  <c r="A64" i="2"/>
  <c r="A65" i="2"/>
  <c r="A7" i="1" l="1"/>
  <c r="A70" i="2" l="1"/>
  <c r="A69" i="2"/>
  <c r="A7" i="2" l="1"/>
  <c r="A5" i="2" l="1"/>
  <c r="A6" i="2"/>
  <c r="A6" i="1" l="1"/>
  <c r="A5" i="1"/>
  <c r="A18" i="1"/>
  <c r="A53" i="1"/>
  <c r="A17" i="1"/>
  <c r="A4" i="1"/>
  <c r="A3" i="1"/>
  <c r="A77" i="1"/>
  <c r="A16" i="1"/>
  <c r="A52" i="1"/>
  <c r="A15" i="1"/>
  <c r="A14" i="1"/>
  <c r="A2" i="1"/>
  <c r="A51" i="1" l="1"/>
  <c r="A50" i="1"/>
  <c r="A49" i="1"/>
  <c r="A48" i="1"/>
  <c r="A47" i="1"/>
  <c r="A46" i="1"/>
  <c r="A45" i="1"/>
  <c r="A44" i="1"/>
  <c r="A41" i="1"/>
  <c r="A40" i="1"/>
  <c r="A33" i="1"/>
  <c r="A32" i="1"/>
  <c r="A31" i="1"/>
  <c r="A30" i="1"/>
  <c r="A138" i="1"/>
  <c r="A68" i="2" l="1"/>
  <c r="A62" i="3"/>
  <c r="A4" i="2"/>
  <c r="A3" i="2" l="1"/>
  <c r="A2" i="2"/>
  <c r="A43" i="1" l="1"/>
  <c r="A137" i="1"/>
  <c r="A13" i="1" l="1"/>
  <c r="A136" i="1"/>
  <c r="A71" i="1" l="1"/>
  <c r="A70" i="1"/>
  <c r="A135" i="1"/>
  <c r="A134" i="1"/>
  <c r="A133" i="1"/>
  <c r="A69" i="1"/>
  <c r="A68" i="1"/>
  <c r="A67" i="1"/>
  <c r="A66" i="1"/>
  <c r="A90" i="1"/>
  <c r="A65" i="1" l="1"/>
  <c r="A23" i="2" l="1"/>
  <c r="A22" i="2"/>
  <c r="A63" i="1" l="1"/>
  <c r="A62" i="1"/>
  <c r="A61" i="1"/>
  <c r="A60" i="1"/>
  <c r="A59" i="1"/>
  <c r="A58" i="1"/>
  <c r="A57" i="1"/>
  <c r="A35" i="3" l="1"/>
  <c r="A61" i="2" l="1"/>
  <c r="A60" i="2"/>
  <c r="A59" i="2" l="1"/>
  <c r="A61" i="3" l="1"/>
  <c r="A132" i="1" l="1"/>
  <c r="A76" i="1"/>
  <c r="A48" i="2" l="1"/>
  <c r="A47" i="2"/>
  <c r="A60" i="3" l="1"/>
  <c r="A13" i="3" l="1"/>
  <c r="A25" i="2" l="1"/>
  <c r="A24" i="2"/>
  <c r="A21" i="2" l="1"/>
  <c r="A20" i="2"/>
  <c r="A19" i="2"/>
  <c r="A18" i="2"/>
  <c r="A17" i="2"/>
  <c r="A13" i="2"/>
  <c r="A12" i="2"/>
  <c r="A11" i="2"/>
  <c r="A10" i="2"/>
  <c r="A9" i="2"/>
  <c r="A8" i="2"/>
  <c r="A59" i="3" l="1"/>
  <c r="A67" i="2" l="1"/>
  <c r="A66" i="2"/>
  <c r="A58" i="3" l="1"/>
  <c r="A34" i="3" l="1"/>
  <c r="A33" i="3"/>
  <c r="A32" i="3"/>
  <c r="A31" i="3"/>
  <c r="A30" i="3"/>
  <c r="A29" i="3"/>
  <c r="A28" i="3"/>
  <c r="A27" i="3"/>
  <c r="A26" i="3"/>
  <c r="A46" i="2" l="1"/>
  <c r="A45" i="2"/>
  <c r="A44" i="2"/>
  <c r="A58" i="2" l="1"/>
  <c r="A57" i="2"/>
  <c r="A56" i="2"/>
  <c r="A55" i="2"/>
  <c r="A54" i="2"/>
  <c r="A53" i="2"/>
  <c r="A52" i="2"/>
  <c r="A51" i="2"/>
  <c r="A50" i="2"/>
  <c r="A49" i="2"/>
  <c r="A43" i="2" l="1"/>
  <c r="A42" i="2"/>
  <c r="A41" i="2"/>
  <c r="A40" i="2"/>
  <c r="A39" i="2"/>
  <c r="A38" i="2"/>
  <c r="A37" i="2"/>
  <c r="A36" i="2"/>
  <c r="A35" i="2" l="1"/>
  <c r="A34" i="2"/>
  <c r="A33" i="2"/>
  <c r="A32" i="2"/>
  <c r="A131" i="1" l="1"/>
  <c r="A130" i="1"/>
  <c r="A25" i="3" l="1"/>
  <c r="A24" i="3"/>
  <c r="A23" i="3"/>
  <c r="A31" i="2" l="1"/>
  <c r="A30" i="2"/>
  <c r="A29" i="2"/>
  <c r="A28" i="2"/>
  <c r="A22" i="3"/>
  <c r="A21" i="3"/>
  <c r="A64" i="1" l="1"/>
  <c r="A20" i="3" l="1"/>
  <c r="A19" i="3"/>
  <c r="A18" i="3"/>
  <c r="A17" i="3"/>
  <c r="A16" i="3"/>
  <c r="A15" i="3"/>
  <c r="A14" i="3"/>
  <c r="A12" i="3"/>
  <c r="A11" i="3"/>
  <c r="A10" i="3"/>
  <c r="A9" i="3"/>
  <c r="A8" i="3"/>
  <c r="A7" i="3"/>
  <c r="A6" i="3"/>
  <c r="A5" i="3"/>
  <c r="A4" i="3"/>
  <c r="A3" i="3"/>
  <c r="A2" i="3"/>
  <c r="A27" i="2"/>
  <c r="A26" i="2"/>
  <c r="A16" i="2"/>
  <c r="A15" i="2"/>
  <c r="A14" i="2"/>
</calcChain>
</file>

<file path=xl/comments1.xml><?xml version="1.0" encoding="utf-8"?>
<comments xmlns="http://schemas.openxmlformats.org/spreadsheetml/2006/main">
  <authors>
    <author>Баранов Павел Эдуардович</author>
  </authors>
  <commentList>
    <comment ref="F1" authorId="0" shapeId="0">
      <text>
        <r>
          <rPr>
            <sz val="9"/>
            <color indexed="81"/>
            <rFont val="Tahoma"/>
            <family val="2"/>
            <charset val="204"/>
          </rPr>
          <t xml:space="preserve">АКТ - если актуализация без изменений (если с изменениями, КОР)
НОВ - если ранее на чпу на эту ДСЕ не писалось УП
КОР - если изменение старой УП, или изменение после актуализации, или при переводе с одного чпу участка, на другой чпу участок
</t>
        </r>
      </text>
    </comment>
  </commentList>
</comments>
</file>

<file path=xl/sharedStrings.xml><?xml version="1.0" encoding="utf-8"?>
<sst xmlns="http://schemas.openxmlformats.org/spreadsheetml/2006/main" count="2345" uniqueCount="754">
  <si>
    <t>№</t>
  </si>
  <si>
    <t>Инф для Нач.бюро</t>
  </si>
  <si>
    <t>Изделие</t>
  </si>
  <si>
    <t>Наименование</t>
  </si>
  <si>
    <t>УП</t>
  </si>
  <si>
    <t>Дата</t>
  </si>
  <si>
    <t>Ф. И. О.</t>
  </si>
  <si>
    <t>Комментарий</t>
  </si>
  <si>
    <t>Получение задания</t>
  </si>
  <si>
    <t>Фрезерные ЧПУ</t>
  </si>
  <si>
    <t>нов./ кор./ акт.</t>
  </si>
  <si>
    <t>СЗ</t>
  </si>
  <si>
    <t>акт</t>
  </si>
  <si>
    <t>Талагаев И.В.</t>
  </si>
  <si>
    <t>Нефатова Е.А.</t>
  </si>
  <si>
    <t>Изолятор</t>
  </si>
  <si>
    <t>кор</t>
  </si>
  <si>
    <t>Смирнов И.А.</t>
  </si>
  <si>
    <t>Крышка</t>
  </si>
  <si>
    <t>нов</t>
  </si>
  <si>
    <t>Загороднев Д.А.</t>
  </si>
  <si>
    <t>Стойка</t>
  </si>
  <si>
    <t>актуализация</t>
  </si>
  <si>
    <t>Планка</t>
  </si>
  <si>
    <t>Боткин А.А.</t>
  </si>
  <si>
    <t>ВХОД 5616</t>
  </si>
  <si>
    <t>огт</t>
  </si>
  <si>
    <t>Корпус</t>
  </si>
  <si>
    <t>ВХОД 4596</t>
  </si>
  <si>
    <t>Комплект приспособлений для КАА</t>
  </si>
  <si>
    <t>ВХОД 6601</t>
  </si>
  <si>
    <t>цех</t>
  </si>
  <si>
    <t>Фланец</t>
  </si>
  <si>
    <t>ОГТ</t>
  </si>
  <si>
    <t>Отчёт_2012</t>
  </si>
  <si>
    <t>Штырь</t>
  </si>
  <si>
    <t>Гайка</t>
  </si>
  <si>
    <t>ПБИН.713300.138</t>
  </si>
  <si>
    <t>Втулка</t>
  </si>
  <si>
    <t>Наконечник</t>
  </si>
  <si>
    <t>Мищенко Н.Т.</t>
  </si>
  <si>
    <t>ПБИН.724200.028</t>
  </si>
  <si>
    <t>Ташбулатов Т.Ж.</t>
  </si>
  <si>
    <t xml:space="preserve">Неман </t>
  </si>
  <si>
    <t>ПБИН.711300.164</t>
  </si>
  <si>
    <t>проверяем техн.файлы</t>
  </si>
  <si>
    <t>Цанга</t>
  </si>
  <si>
    <t>ПБИН.715100.194</t>
  </si>
  <si>
    <t>Заглушка</t>
  </si>
  <si>
    <t>ПБИН.758400.008</t>
  </si>
  <si>
    <t>ПБИН.713200.014-01</t>
  </si>
  <si>
    <t>Гайка сальника</t>
  </si>
  <si>
    <t>ПБИН.711200.031</t>
  </si>
  <si>
    <t>ПБИН.713400.059</t>
  </si>
  <si>
    <t>ПБИН.757400.399</t>
  </si>
  <si>
    <t>ПБИН.758400.309</t>
  </si>
  <si>
    <t>ПБИН.758400.311</t>
  </si>
  <si>
    <t>Бобышка</t>
  </si>
  <si>
    <t>ПБИН.758193.001</t>
  </si>
  <si>
    <t>Болт</t>
  </si>
  <si>
    <t>ПБИН.765451.001</t>
  </si>
  <si>
    <t>Насадка</t>
  </si>
  <si>
    <t>ВХОД 4832</t>
  </si>
  <si>
    <t>ПБИН.711342.008</t>
  </si>
  <si>
    <t>СЗ: письмо от 05.09.2025</t>
  </si>
  <si>
    <t>ПБИН.757400.052-06</t>
  </si>
  <si>
    <t>Ж перевода / не целесообразно</t>
  </si>
  <si>
    <t>актуализация Ташбулатов</t>
  </si>
  <si>
    <t>Закупить инструмент ИНС000000000000007414</t>
  </si>
  <si>
    <t>ЦЛИБ.713300.012</t>
  </si>
  <si>
    <t>Ось</t>
  </si>
  <si>
    <t>ПБИН.713100.235</t>
  </si>
  <si>
    <t>Гайдин А.В.</t>
  </si>
  <si>
    <t>ПБИН.713300.113-03</t>
  </si>
  <si>
    <t>ПБИН.714312.001</t>
  </si>
  <si>
    <t>Пробка</t>
  </si>
  <si>
    <t>проверить техн.файлы</t>
  </si>
  <si>
    <t>ПБИН.758300.031</t>
  </si>
  <si>
    <t>ПБИН.713200.101</t>
  </si>
  <si>
    <t>ПБИН.723200.086</t>
  </si>
  <si>
    <t>ПБИН.746611.002</t>
  </si>
  <si>
    <t>ПБИН.715233.001</t>
  </si>
  <si>
    <t>Шпилька</t>
  </si>
  <si>
    <t>ПБИН.715233.001-01</t>
  </si>
  <si>
    <t>ПБИН.713141.029</t>
  </si>
  <si>
    <t>ЛТИЯ.753344.001</t>
  </si>
  <si>
    <t>Защелка</t>
  </si>
  <si>
    <t>ЮПИЯ.753124.007-21</t>
  </si>
  <si>
    <t>Втулка ОСТ 4Г 0.882.009</t>
  </si>
  <si>
    <t>ЮПИЯ.753124.006-17</t>
  </si>
  <si>
    <t>Втулка ОСТ 4Г 0.882.009-73</t>
  </si>
  <si>
    <t>перевод с 11402?</t>
  </si>
  <si>
    <t>Нет КД</t>
  </si>
  <si>
    <t>универсалы в маршруте</t>
  </si>
  <si>
    <t>для канбана</t>
  </si>
  <si>
    <t>Токарные ЧПУ</t>
  </si>
  <si>
    <t>Прутковые автоматы</t>
  </si>
  <si>
    <t>ЩДУ</t>
  </si>
  <si>
    <t>ЮПИЯ.713361.003-07</t>
  </si>
  <si>
    <t>ПБИН.715300.144</t>
  </si>
  <si>
    <t>ВХОД 4162 (29.08.2024)</t>
  </si>
  <si>
    <t>Актуализация. Согласовать с фрез.ЧПУ. Чертежи в папке Мурманск</t>
  </si>
  <si>
    <t>ПБИН.713300.120</t>
  </si>
  <si>
    <t>ПРТК.715342.003</t>
  </si>
  <si>
    <t>Стержень</t>
  </si>
  <si>
    <t>ПРТК.715342.003-01</t>
  </si>
  <si>
    <t>из ЖП фрез</t>
  </si>
  <si>
    <t>Изделие РБ-314А (Мурманск-М2)</t>
  </si>
  <si>
    <t>нов.</t>
  </si>
  <si>
    <t>ЖП</t>
  </si>
  <si>
    <t>Труба</t>
  </si>
  <si>
    <t xml:space="preserve">актуализация </t>
  </si>
  <si>
    <t>Вкладыш</t>
  </si>
  <si>
    <t>ПБИН.753231.002-04</t>
  </si>
  <si>
    <t>Вход 1439</t>
  </si>
  <si>
    <t>ЛТИЯ.713161.026</t>
  </si>
  <si>
    <t>ЛТИЯ.468824.005 Постселектор КВ ППС-30</t>
  </si>
  <si>
    <t>ПБИН.714611.001</t>
  </si>
  <si>
    <t>ось</t>
  </si>
  <si>
    <t>СЗ от 02.05.2024</t>
  </si>
  <si>
    <t>запрос на перевод с 10102 / не целесообразно?</t>
  </si>
  <si>
    <t>Радиатор</t>
  </si>
  <si>
    <t>СЗ от 02.04.2025</t>
  </si>
  <si>
    <t>ЛТИЯ.752694.024</t>
  </si>
  <si>
    <t>ГТ-Э6155.15.01.01</t>
  </si>
  <si>
    <t>Хвостовик 1,9</t>
  </si>
  <si>
    <t>ГТ-Э6155.15.02.01</t>
  </si>
  <si>
    <t>Хвостовик 2,1</t>
  </si>
  <si>
    <t>ГТ-Э6155.15.03.01</t>
  </si>
  <si>
    <t>Хвостовик 2,5</t>
  </si>
  <si>
    <t>ГТ-Э6155.15.04.01</t>
  </si>
  <si>
    <t>Хвостовик 3,0</t>
  </si>
  <si>
    <t>Запрос БПП от 15.04.2025</t>
  </si>
  <si>
    <t>Прибор К6 1х3 (Ю-627-513)</t>
  </si>
  <si>
    <t>ЛТИЯ.711141.042</t>
  </si>
  <si>
    <t>ЛТИЯ.712352.006</t>
  </si>
  <si>
    <t>ЛТИЯ.301172.007</t>
  </si>
  <si>
    <t>ЛТИЯ.301172.010</t>
  </si>
  <si>
    <t>это Мурманск, но ЛТИЯ, их брать из системы.</t>
  </si>
  <si>
    <t>ЛТИЯ.713141.022</t>
  </si>
  <si>
    <t>ЛТИЯ.715211.015</t>
  </si>
  <si>
    <t>чертеж брать из системы.</t>
  </si>
  <si>
    <t>Ушко</t>
  </si>
  <si>
    <t>ЛТИЯ.561831.001-04</t>
  </si>
  <si>
    <t>Трубка</t>
  </si>
  <si>
    <t>ЛТИЯ.561832.164</t>
  </si>
  <si>
    <t>ЛТИЯ.561832.634</t>
  </si>
  <si>
    <t>Труба 14х1,5 ГОСТ 8734-75 В 20 ГОСТ 8733-74 L=62</t>
  </si>
  <si>
    <t>ЛТИЯ.464969.011 Комплект электропитания</t>
  </si>
  <si>
    <t>Блок</t>
  </si>
  <si>
    <t>Шайба</t>
  </si>
  <si>
    <t>Винт</t>
  </si>
  <si>
    <t>ПКЗ</t>
  </si>
  <si>
    <t>кор.</t>
  </si>
  <si>
    <t>Панель</t>
  </si>
  <si>
    <t>Новая. чертеж папка мурманска. \\volna.dmn\data\obmen\Служба Главного инженера\ОГТ\ЧПУ\Obmen\актуальные чертежи по Мурманску М2 от 29.08.2024</t>
  </si>
  <si>
    <t>Актуализация. чертеж папка мурманска. \\volna.dmn\data\obmen\Служба Главного инженера\ОГТ\ЧПУ\Obmen\актуальные чертежи по Мурманску М2 от 29.08.2024</t>
  </si>
  <si>
    <t>Отчёт_2012 и СЗ</t>
  </si>
  <si>
    <t>Допустить изготовление из Круг 14,0-h11 ГОСТ 7417-75/45 ГОСТ 1051-73 \\volna.dmn\data\obmen\Служба Главного инженера\ОГТ\ЧПУ\Obmen\актуальные чертежи по Мурманску М2 от 29.08.2024</t>
  </si>
  <si>
    <t>СКИД.713371.001-03</t>
  </si>
  <si>
    <t>Оправа  ОСТ4 ГО.010.016</t>
  </si>
  <si>
    <t>СКИД.713371.001-07</t>
  </si>
  <si>
    <t>СКИД.713375.001-07</t>
  </si>
  <si>
    <t>СКИД.713375.001-14</t>
  </si>
  <si>
    <t>Новая. Чертеж из библиотеки технолога</t>
  </si>
  <si>
    <t>СЗ от 22.02.2025</t>
  </si>
  <si>
    <t>СЗ от 14.09.2023</t>
  </si>
  <si>
    <t>ПБИН.711645.001</t>
  </si>
  <si>
    <t>Ролик</t>
  </si>
  <si>
    <t>ПБИН.713141.033</t>
  </si>
  <si>
    <t>ПБИН.713411.002</t>
  </si>
  <si>
    <t>Вал</t>
  </si>
  <si>
    <t>ПБИН.715412.006</t>
  </si>
  <si>
    <t>ПБИН.716300.055</t>
  </si>
  <si>
    <t>ПБИН.732161.001</t>
  </si>
  <si>
    <t>ПБИН.753116.001</t>
  </si>
  <si>
    <t>ПБИН.753126.001</t>
  </si>
  <si>
    <t>Штуцер</t>
  </si>
  <si>
    <t>ПБИН.711763.001</t>
  </si>
  <si>
    <t>ПБИН.712600.004</t>
  </si>
  <si>
    <t>ПБИН.713100.006</t>
  </si>
  <si>
    <t>ПБИН.713100.145</t>
  </si>
  <si>
    <t>ПБИН.713100.145-01</t>
  </si>
  <si>
    <t>Актуализация (Иванова И.Д). чертеж папка мурманска. \\volna.dmn\data\obmen\Служба Главного инженера\ОГТ\ЧПУ\Obmen\актуальные чертежи по Мурманску М2 от 29.08.2024</t>
  </si>
  <si>
    <t>ПБИН.713514.001</t>
  </si>
  <si>
    <t>ПБИН.714700.006</t>
  </si>
  <si>
    <t>ПБИН.715100.030</t>
  </si>
  <si>
    <t>СЗ от 04.10.2024</t>
  </si>
  <si>
    <t>СЗ от 20.11.2024</t>
  </si>
  <si>
    <t>ПБИН.715531.002</t>
  </si>
  <si>
    <t>ПБИН.716500.021</t>
  </si>
  <si>
    <t>Актуализация ( 27.07.2016). чертеж папка мурманска. \\volna.dmn\data\obmen\Служба Главного инженера\ОГТ\ЧПУ\Obmen\актуальные чертежи по Мурманску М2 от 29.08.2024</t>
  </si>
  <si>
    <t>Актуализация ( 21.09.2015). чертеж папка мурманска. \\volna.dmn\data\obmen\Служба Главного инженера\ОГТ\ЧПУ\Obmen\актуальные чертежи по Мурманску М2 от 29.08.2024</t>
  </si>
  <si>
    <t>Актуализация (Ташбулатов Т.Ж. 26.05.2021). чертеж папка мурманска. \\volna.dmn\data\obmen\Служба Главного инженера\ОГТ\ЧПУ\Obmen\актуальные чертежи по Мурманску М2 от 29.08.2024</t>
  </si>
  <si>
    <t>Актуализация ( 17.12.2014). чертеж папка мурманска. \\volna.dmn\data\obmen\Служба Главного инженера\ОГТ\ЧПУ\Obmen\актуальные чертежи по Мурманску М2 от 29.08.2024</t>
  </si>
  <si>
    <t>Актуализация (Мищенко Н.Т. 23.08.2024). чертеж папка мурманска. \\volna.dmn\data\obmen\Служба Главного инженера\ОГТ\ЧПУ\Obmen\актуальные чертежи по Мурманску М2 от 29.08.2024</t>
  </si>
  <si>
    <t>Актуализация (Иванова И.Д. 18.05.2022). чертеж папка мурманска. \\volna.dmn\data\obmen\Служба Главного инженера\ОГТ\ЧПУ\Obmen\актуальные чертежи по Мурманску М2 от 29.08.2024</t>
  </si>
  <si>
    <t>Актуализация (Иванова И.Д. 08.07.2020). чертеж папка мурманска. \\volna.dmn\data\obmen\Служба Главного инженера\ОГТ\ЧПУ\Obmen\актуальные чертежи по Мурманску М2 от 29.08.2024</t>
  </si>
  <si>
    <t>Актуализация (Ташбулатов Т.Ж. 14.12.2023). чертеж папка мурманска. \\volna.dmn\data\obmen\Служба Главного инженера\ОГТ\ЧПУ\Obmen\актуальные чертежи по Мурманску М2 от 29.08.2024</t>
  </si>
  <si>
    <t>ПБИН.758100.100</t>
  </si>
  <si>
    <t>ПБИН.758400.014-01</t>
  </si>
  <si>
    <t>ПБИН.758400.406-02</t>
  </si>
  <si>
    <t>СКИД.713341.004-08</t>
  </si>
  <si>
    <t>Втулка ОСТ 4Г 0.010.016</t>
  </si>
  <si>
    <t>ЮПИЯ.713361.005-04</t>
  </si>
  <si>
    <t>ВТУЛКА ОСТ 4Г 0.822.009-73</t>
  </si>
  <si>
    <t>ЮПИЯ.713361.005-27</t>
  </si>
  <si>
    <t>Втулка ОСТ 4Г 0.822.009</t>
  </si>
  <si>
    <t>ЮПИЯ.713361.010-03</t>
  </si>
  <si>
    <t>ЮПИЯ.753124.006-14</t>
  </si>
  <si>
    <t>ПБИН.758121.001</t>
  </si>
  <si>
    <t>Стойка Н М4х40-58.016 ГОСТ 20865-81</t>
  </si>
  <si>
    <t>Стойка М3х45-58.016 ГОСТ 20865-81</t>
  </si>
  <si>
    <t>Стойка М3х30-58.016 ГОСТ 20866-81</t>
  </si>
  <si>
    <t>Письмо БМЗП от 23.05.2025</t>
  </si>
  <si>
    <t>ЭЛТИЯ.731100.005 Корпус</t>
  </si>
  <si>
    <t>Эскиз доработки</t>
  </si>
  <si>
    <t>Письмо БМЗП от 13.05.2025</t>
  </si>
  <si>
    <t>РНО №206</t>
  </si>
  <si>
    <t>Написать обработку ДСЕ ПБИН.713300.068 из заготовки Пруток ДКРПТ 12</t>
  </si>
  <si>
    <t>ПБИН.741103.466</t>
  </si>
  <si>
    <t>ПБИН.741114.004</t>
  </si>
  <si>
    <t>Оч.140</t>
  </si>
  <si>
    <t>Актуализация (Боткин) по чертежу из системы</t>
  </si>
  <si>
    <t>Изделие Ю-627 (исп -19; -40)</t>
  </si>
  <si>
    <t>ЮПИЯ.715331.002-10</t>
  </si>
  <si>
    <t>ЛТИЯ.461411.002-02 Изделие ГТ-205М</t>
  </si>
  <si>
    <t>СЗ от 28.05.2025</t>
  </si>
  <si>
    <t>ПБИН.757500.096</t>
  </si>
  <si>
    <t>ПБИН.757500.097</t>
  </si>
  <si>
    <t>Усилитель мощности УМ-40</t>
  </si>
  <si>
    <t>Оправка</t>
  </si>
  <si>
    <r>
      <rPr>
        <sz val="12"/>
        <color rgb="FFFF0000"/>
        <rFont val="Calibri"/>
        <family val="2"/>
        <charset val="204"/>
        <scheme val="minor"/>
      </rPr>
      <t>Жду ответ конструктора</t>
    </r>
    <r>
      <rPr>
        <sz val="12"/>
        <color theme="1"/>
        <rFont val="Calibri"/>
        <family val="2"/>
        <charset val="204"/>
        <scheme val="minor"/>
      </rPr>
      <t>/Новая. чертеж папка мурманска. \\volna.dmn\data\obmen\Служба Главного инженера\ОГТ\ЧПУ\Obmen\актуальные чертежи по Мурманску М2 от 29.08.2024</t>
    </r>
  </si>
  <si>
    <t>Скоба</t>
  </si>
  <si>
    <t>Иващенко В.В.</t>
  </si>
  <si>
    <t>ЕКБЛТИЯ.711131.002</t>
  </si>
  <si>
    <t>ЕКБЭЛТИЯ.713314.012</t>
  </si>
  <si>
    <t>Крестовина</t>
  </si>
  <si>
    <t>ЛТИЯ.733241.003</t>
  </si>
  <si>
    <t>ЛТИЯ.753152.002</t>
  </si>
  <si>
    <t>ЛТИЯ.753152.001</t>
  </si>
  <si>
    <t>Антенна УКВ 30-80</t>
  </si>
  <si>
    <t>ЛТИЯ.715311.037</t>
  </si>
  <si>
    <t>ЛТИЯ.758442.007</t>
  </si>
  <si>
    <t>ЛТИЯ.758472.002</t>
  </si>
  <si>
    <t>Стакан</t>
  </si>
  <si>
    <t>ДСЕ</t>
  </si>
  <si>
    <t>Установ</t>
  </si>
  <si>
    <t>Составил акт</t>
  </si>
  <si>
    <t>Станок</t>
  </si>
  <si>
    <t>ЛТИЯ.743121.001-01</t>
  </si>
  <si>
    <t>O25817</t>
  </si>
  <si>
    <t>Баранов П.Э.</t>
  </si>
  <si>
    <t>Уст 3</t>
  </si>
  <si>
    <t>Автор: Софрин Р.У.</t>
  </si>
  <si>
    <t>Уст1</t>
  </si>
  <si>
    <t>О77607</t>
  </si>
  <si>
    <t>Smec MCV5500</t>
  </si>
  <si>
    <t>Уст2</t>
  </si>
  <si>
    <t>О77608</t>
  </si>
  <si>
    <t>Haas VF-2</t>
  </si>
  <si>
    <t xml:space="preserve">ЕКБЛТИЯ.741128.696 </t>
  </si>
  <si>
    <t>O82320</t>
  </si>
  <si>
    <t>Haas</t>
  </si>
  <si>
    <t>O82321</t>
  </si>
  <si>
    <t>Уст3</t>
  </si>
  <si>
    <t>O82322</t>
  </si>
  <si>
    <t>Уст4</t>
  </si>
  <si>
    <t>O82323</t>
  </si>
  <si>
    <t>О77024</t>
  </si>
  <si>
    <t>О77025</t>
  </si>
  <si>
    <t>О77017</t>
  </si>
  <si>
    <t>О77018</t>
  </si>
  <si>
    <t>ЕКБЭЛТИЯ.741214.122</t>
  </si>
  <si>
    <t>Уст5</t>
  </si>
  <si>
    <t>Уст6</t>
  </si>
  <si>
    <t>Уст7</t>
  </si>
  <si>
    <t>O71845</t>
  </si>
  <si>
    <t>O71846</t>
  </si>
  <si>
    <t>O71847</t>
  </si>
  <si>
    <t>O71848</t>
  </si>
  <si>
    <t>O71849</t>
  </si>
  <si>
    <t>O71850</t>
  </si>
  <si>
    <t xml:space="preserve">ЕКБЛТИЯ.741128.692 </t>
  </si>
  <si>
    <t>O82244</t>
  </si>
  <si>
    <t>O71959</t>
  </si>
  <si>
    <t>O82246</t>
  </si>
  <si>
    <t>V-centre</t>
  </si>
  <si>
    <t>Утверждено</t>
  </si>
  <si>
    <t>Оформлен</t>
  </si>
  <si>
    <t>Примечание (автор УП, если не составитель акта)</t>
  </si>
  <si>
    <t>Актуализация (Иванова И.Д). Оснастка: ГТ-Э5903.01.00  Оправка в сборе ГТ-Э5903.01.01 Оправка ГТ-Э5903.01.02 Шайба. чертеж папка мурманска. \\volna.dmn\data\obmen\Служба Главного инженера\ОГТ\ЧПУ\Obmen\актуальные чертежи по Мурманску М2 от 29.08.2024</t>
  </si>
  <si>
    <t>Балка</t>
  </si>
  <si>
    <t>Брусок</t>
  </si>
  <si>
    <t>ПБИН.712411.001</t>
  </si>
  <si>
    <t>ПБИН.711600.048</t>
  </si>
  <si>
    <t>Актуализация. Заново отправить письмо технологам. чертеж папка мурманска. \\volna.dmn\data\obmen\Служба Главного инженера\ОГТ\ЧПУ\Obmen\актуальные чертежи по Мурманску М2 от 29.08.2024</t>
  </si>
  <si>
    <t>ПБИН.713100.095</t>
  </si>
  <si>
    <t>O26688</t>
  </si>
  <si>
    <t>Haas SL-20</t>
  </si>
  <si>
    <t>ЛТИЯ.741138.104</t>
  </si>
  <si>
    <t>ЕКБЛТИЯ.741128.779</t>
  </si>
  <si>
    <t>O77866</t>
  </si>
  <si>
    <t>O77865</t>
  </si>
  <si>
    <t>ЛТИЯ.741138.104-01</t>
  </si>
  <si>
    <t>ЛТИЯ.741138.104-02</t>
  </si>
  <si>
    <t>ЛТИЯ.741138.104-03</t>
  </si>
  <si>
    <t>O23596</t>
  </si>
  <si>
    <t>O23586</t>
  </si>
  <si>
    <t>O23585</t>
  </si>
  <si>
    <t>O23597</t>
  </si>
  <si>
    <t>O23599</t>
  </si>
  <si>
    <t>нов. чертеж папка мурманска \\volna.dmn\data\obmen\Служба Главного инженера\ОГТ\ЧПУ\Obmen\актуальные чертежи по Мурманску М2 от 29.08.2024</t>
  </si>
  <si>
    <t>СЗ от 10.06.2025</t>
  </si>
  <si>
    <t>Актуализация. чертеж папка мурманска \\volna.dmn\data\obmen\Служба Главного инженера\ОГТ\ЧПУ\Obmen\актуальные чертежи по Мурманску М2 от 29.08.2024</t>
  </si>
  <si>
    <t>ПБИН.741151.001</t>
  </si>
  <si>
    <t>ПБИН.741241.001</t>
  </si>
  <si>
    <t>ГТ-Э5895.00.00.01-03</t>
  </si>
  <si>
    <t>РПДУ-1000</t>
  </si>
  <si>
    <t>Письмо БПП от 30.06.2025</t>
  </si>
  <si>
    <t>Вопросы к Барамидзе Г.О. (Ранее данное изделие запускалось  -01; -02 исполнения, на них УП в системе есть.) КД в общем почтовом ящике, в письме от 30.06.2025, искать удобно по номеру ДСЕ.</t>
  </si>
  <si>
    <t>ПБИН.711361.003</t>
  </si>
  <si>
    <t>ПБИН.758300.015-01</t>
  </si>
  <si>
    <t>Актуализация. Чертеж папка мурманска. \\volna.dmn\data\obmen\Служба Главного инженера\ОГТ\ЧПУ\Obmen\актуальные чертежи по Мурманску М2 от 29.08.2024</t>
  </si>
  <si>
    <t>ЦЛИБ.758200.003-04</t>
  </si>
  <si>
    <t>ЛТИЯ.741138.099</t>
  </si>
  <si>
    <t>O20534</t>
  </si>
  <si>
    <t>O20536</t>
  </si>
  <si>
    <t>O20538</t>
  </si>
  <si>
    <t>Загружен</t>
  </si>
  <si>
    <t>+</t>
  </si>
  <si>
    <t>-</t>
  </si>
  <si>
    <t>Актуализация.</t>
  </si>
  <si>
    <t>СЗ от 03.03.2025</t>
  </si>
  <si>
    <t>ПБИН.741314.020</t>
  </si>
  <si>
    <t>Основание</t>
  </si>
  <si>
    <t>Направляющая</t>
  </si>
  <si>
    <t xml:space="preserve">ЛТИЯ.733132.001 </t>
  </si>
  <si>
    <t>O32338</t>
  </si>
  <si>
    <t>ПБИН.716100.003-02</t>
  </si>
  <si>
    <t>O60195</t>
  </si>
  <si>
    <t>ACCUWAY UT-200</t>
  </si>
  <si>
    <t>переписать УП Ивановой под секторные кулачки</t>
  </si>
  <si>
    <t>ЛТИЯ.712151.002</t>
  </si>
  <si>
    <t>Кольцо контактное</t>
  </si>
  <si>
    <t>отработка</t>
  </si>
  <si>
    <t>ПБИН.741101.351</t>
  </si>
  <si>
    <t>O83111</t>
  </si>
  <si>
    <t>ПБИН.746112.823</t>
  </si>
  <si>
    <t>ПБИН.746112.823-01</t>
  </si>
  <si>
    <t>ПБИН.741124.353</t>
  </si>
  <si>
    <t>ПБИН.741424.025</t>
  </si>
  <si>
    <t>ПБИН.741424.025-01</t>
  </si>
  <si>
    <t>задан вопрос конструктору</t>
  </si>
  <si>
    <t>ПБИН.741515.001</t>
  </si>
  <si>
    <t>ПБИН.301119.010</t>
  </si>
  <si>
    <t>Корпус блока нижнего</t>
  </si>
  <si>
    <t>ПБИН.301119.011</t>
  </si>
  <si>
    <t>Корпус блока</t>
  </si>
  <si>
    <t>ПБИН.301119.012</t>
  </si>
  <si>
    <t>ПБИН.301119.012-01</t>
  </si>
  <si>
    <t>ПБИН.301119.013</t>
  </si>
  <si>
    <t>ПБИН.301119.014</t>
  </si>
  <si>
    <t>Жкор</t>
  </si>
  <si>
    <t xml:space="preserve">ЕКБЛТИЯ.711312.005 </t>
  </si>
  <si>
    <t>актуализация (пока не брать)</t>
  </si>
  <si>
    <t>чертеж в системе (пока не брать)</t>
  </si>
  <si>
    <t>O51286</t>
  </si>
  <si>
    <t>Haas SL20</t>
  </si>
  <si>
    <t>ЛТИЯ.751691.001</t>
  </si>
  <si>
    <t>Крышка подшипника</t>
  </si>
  <si>
    <t>МАО-22М</t>
  </si>
  <si>
    <t>СЗ от 18.04.2025</t>
  </si>
  <si>
    <t>ЛТИЯ.735412.010</t>
  </si>
  <si>
    <t>Стойка РПДУ-1000 (ЛТИЯ.464124.021)</t>
  </si>
  <si>
    <t>СЗ от 27.05.2025</t>
  </si>
  <si>
    <t>ЛТИЯ.741164.021</t>
  </si>
  <si>
    <t>Стяжка верхняя</t>
  </si>
  <si>
    <t>ЛТИЯ.741164.021-01</t>
  </si>
  <si>
    <t>ЛТИЯ.741164.026</t>
  </si>
  <si>
    <t>ЛТИЯ.741164.026-01</t>
  </si>
  <si>
    <t>ЛТИЯ.741164.029</t>
  </si>
  <si>
    <t>Стяжка нижняя</t>
  </si>
  <si>
    <t>ЛТИЯ.741164.029-01</t>
  </si>
  <si>
    <t>ЛТИЯ.741128.683</t>
  </si>
  <si>
    <t>ЛТИЯ.741164.024</t>
  </si>
  <si>
    <t>ЛТИЯ.741164.024-01</t>
  </si>
  <si>
    <t>ПБИН.735300.137</t>
  </si>
  <si>
    <t>ПБИН.735400.013</t>
  </si>
  <si>
    <t>Перевод габарита на 11403</t>
  </si>
  <si>
    <t>Перевод на 11403 операции 10103</t>
  </si>
  <si>
    <t>ЖП №998</t>
  </si>
  <si>
    <t>ЖП №999</t>
  </si>
  <si>
    <t xml:space="preserve">ЕР8.020.285 </t>
  </si>
  <si>
    <t>О83244</t>
  </si>
  <si>
    <t>Ловитель</t>
  </si>
  <si>
    <t>O83258</t>
  </si>
  <si>
    <t>ЛТИЯ.711142.023</t>
  </si>
  <si>
    <t>О33770</t>
  </si>
  <si>
    <t>О33771</t>
  </si>
  <si>
    <t>О33772</t>
  </si>
  <si>
    <t>О33773</t>
  </si>
  <si>
    <t>О33774</t>
  </si>
  <si>
    <t>HAAS</t>
  </si>
  <si>
    <t>Загороднев Д. А.</t>
  </si>
  <si>
    <t>ПБИН.741103.349</t>
  </si>
  <si>
    <t>ПБИН.741103.395</t>
  </si>
  <si>
    <t>УМ-5</t>
  </si>
  <si>
    <t>Письмо БМЗП от 21.7.2025</t>
  </si>
  <si>
    <t>Актуализация. Сообщить заготовку Никольскому А.Б. чертеж папка мурманска \\volna.dmn\data\obmen\Служба Главного инженера\ОГТ\ЧПУ\Obmen\актуальные чертежи по Мурманску М2 от 29.08.2024</t>
  </si>
  <si>
    <t>Полная переделка УП Ивановой, нет проекта FC</t>
  </si>
  <si>
    <t>TGM</t>
  </si>
  <si>
    <t>PBIN.741424.025</t>
  </si>
  <si>
    <t>PBIN.741424.025-01</t>
  </si>
  <si>
    <t>PBIN.741124.353 U1</t>
  </si>
  <si>
    <t>Установ-2. Корректировка глубины сверления и длины расточки, согласно чертежу. Допускается конус от сверла. По заданию от Баранова П.Э.</t>
  </si>
  <si>
    <t>ЛТИЯ.758128.002</t>
  </si>
  <si>
    <t>ЛТИЯ.715511.062</t>
  </si>
  <si>
    <t>СЗ от 21.07.2025</t>
  </si>
  <si>
    <t>Кузов-контейнер</t>
  </si>
  <si>
    <t>Кронштейн</t>
  </si>
  <si>
    <t>Письмо БМЗП</t>
  </si>
  <si>
    <t>ЕКБЭЛТИЯ.757562.028</t>
  </si>
  <si>
    <t>O63126</t>
  </si>
  <si>
    <t>O63127</t>
  </si>
  <si>
    <t>ЭЛТИЯ.757562.029</t>
  </si>
  <si>
    <t>O63129</t>
  </si>
  <si>
    <t>ЭЛТИЯ.757562.030</t>
  </si>
  <si>
    <t>O63130</t>
  </si>
  <si>
    <t>ЭЛТИЯ.757562.031</t>
  </si>
  <si>
    <t>O62829</t>
  </si>
  <si>
    <t>O63131</t>
  </si>
  <si>
    <t>ЭЛТИЯ.757562.033</t>
  </si>
  <si>
    <t>O63133</t>
  </si>
  <si>
    <t>ЭЛТИЯ.757562.032</t>
  </si>
  <si>
    <t>O63132</t>
  </si>
  <si>
    <t>O63134</t>
  </si>
  <si>
    <t>O63139</t>
  </si>
  <si>
    <t>ЛТИЯ.715514.007</t>
  </si>
  <si>
    <t>O62875</t>
  </si>
  <si>
    <t>ЕКБЭЛТИЯ.757562.034</t>
  </si>
  <si>
    <t>ЕКБЭЛТИЯ.757562.035</t>
  </si>
  <si>
    <t>ЕКБЭЛТИЯ.757562.036</t>
  </si>
  <si>
    <t>O63140</t>
  </si>
  <si>
    <t>O62876</t>
  </si>
  <si>
    <t>ЛТИЯ.741154.030</t>
  </si>
  <si>
    <t>ЛТИЯ.742212.018</t>
  </si>
  <si>
    <t>ЛТИЯ.742212.018-01</t>
  </si>
  <si>
    <t>ЛТИЯ.741424.302</t>
  </si>
  <si>
    <t>ЛТИЯ.741424.302-01</t>
  </si>
  <si>
    <t>ЛТИЯ.741424.295</t>
  </si>
  <si>
    <t>ЛТИЯ.741424.295-01</t>
  </si>
  <si>
    <t>ЛТИЯ.741424.294</t>
  </si>
  <si>
    <t>ЛТИЯ.741424.294-01</t>
  </si>
  <si>
    <t>ЛТИЯ.741424.301</t>
  </si>
  <si>
    <t>ЛТИЯ.741424.301-01</t>
  </si>
  <si>
    <t>ЛТИЯ.741424.297</t>
  </si>
  <si>
    <t>ЛТИЯ.741424.297-01</t>
  </si>
  <si>
    <t>ЛТИЯ.741424.298</t>
  </si>
  <si>
    <t>ЛТИЯ.741424.298-01</t>
  </si>
  <si>
    <t>ЛТИЯ.741424.293</t>
  </si>
  <si>
    <t>ЛТИЯ.741424.293-01</t>
  </si>
  <si>
    <t>ЛТИЯ.741424.293-02</t>
  </si>
  <si>
    <t>ЛТИЯ.741424.293-03</t>
  </si>
  <si>
    <t>СЗ от 21.04.2025</t>
  </si>
  <si>
    <t>ЛТИЯ.723217.004</t>
  </si>
  <si>
    <t>корректировка инструмента в УП и КН</t>
  </si>
  <si>
    <t>ЛТИЯ.741248.016</t>
  </si>
  <si>
    <t>ЛТИЯ.735214.029</t>
  </si>
  <si>
    <t>ЛТИЯ.733115.006</t>
  </si>
  <si>
    <t>СЗ от 18.03.2025</t>
  </si>
  <si>
    <t>Стойка РПДУ-1000 (ПБИН.464124.005-03;-04)</t>
  </si>
  <si>
    <t>Р-161-5ПРД</t>
  </si>
  <si>
    <t>ЛТИЯ.741134.491</t>
  </si>
  <si>
    <t>ЛТИЯ.741134.518</t>
  </si>
  <si>
    <t>ЛТИЯ.741134.514</t>
  </si>
  <si>
    <t>ЛТИЯ.741134.514-01</t>
  </si>
  <si>
    <t>ЛТИЯ.741552.029</t>
  </si>
  <si>
    <t>ЛТИЯ.741125.037</t>
  </si>
  <si>
    <t>ЛТИЯ.741134.506</t>
  </si>
  <si>
    <t>ЛТИЯ.741294.012</t>
  </si>
  <si>
    <t>Р-161-ПРД</t>
  </si>
  <si>
    <t>ЛТИЯ.741125.038</t>
  </si>
  <si>
    <t>СЗ от 12.12.2024</t>
  </si>
  <si>
    <t>СЗ от 14.12.2024</t>
  </si>
  <si>
    <t>ПБИН.731100.236</t>
  </si>
  <si>
    <t>pbin.731100.236_U3</t>
  </si>
  <si>
    <t>pbin.731100.236_U4</t>
  </si>
  <si>
    <t>MAS</t>
  </si>
  <si>
    <t>ЛТИЯ.758411.005</t>
  </si>
  <si>
    <t>Гайка пружинная</t>
  </si>
  <si>
    <t>Корректировка уП для V-TURN, отработка</t>
  </si>
  <si>
    <t>ЕКБЛТИЯ.758411.005</t>
  </si>
  <si>
    <t>ЛТИЯ.712151.001</t>
  </si>
  <si>
    <t>нет УП для HAAS SL-20</t>
  </si>
  <si>
    <t>ГК-Э8-3834</t>
  </si>
  <si>
    <t>СЗ от 23.07.2025</t>
  </si>
  <si>
    <t>РПДМ</t>
  </si>
  <si>
    <t>ПБИН.758282.002</t>
  </si>
  <si>
    <t>Перевести габарит с 10103</t>
  </si>
  <si>
    <t>ПБИН.711141.045</t>
  </si>
  <si>
    <t>Кольцо</t>
  </si>
  <si>
    <t>ПБИН.711141.049</t>
  </si>
  <si>
    <t>ПБИН.711141.050</t>
  </si>
  <si>
    <t>ПБИН.711341.007</t>
  </si>
  <si>
    <t>ПБИН.713100.296</t>
  </si>
  <si>
    <t>ПБИН.713141.027</t>
  </si>
  <si>
    <t>ПБИН.713161.006</t>
  </si>
  <si>
    <t>ПБИН.713163.002</t>
  </si>
  <si>
    <t>ПБИН.713200.100</t>
  </si>
  <si>
    <t>ПБИН.713211.004</t>
  </si>
  <si>
    <t>ПБИН.713241.001</t>
  </si>
  <si>
    <t>ПБИН.713563.002</t>
  </si>
  <si>
    <t>ПБИН.714411.001</t>
  </si>
  <si>
    <t>ПБИН.715111.024</t>
  </si>
  <si>
    <t>ПБИН.715111.026</t>
  </si>
  <si>
    <t>ПБИН.715111.027</t>
  </si>
  <si>
    <t>ПБИН.715141.029</t>
  </si>
  <si>
    <t>ПБИН.715211.051</t>
  </si>
  <si>
    <t>ПБИН.715512.016</t>
  </si>
  <si>
    <t>ПБИН.716111.001</t>
  </si>
  <si>
    <t>ПБИН.716511.002</t>
  </si>
  <si>
    <t>ПБИН.723111.025</t>
  </si>
  <si>
    <t>Елочка</t>
  </si>
  <si>
    <t>ПБИН.723111.026</t>
  </si>
  <si>
    <t>ПБИН.753137.001</t>
  </si>
  <si>
    <t>ПБИН.713142.007</t>
  </si>
  <si>
    <t xml:space="preserve">СЗ </t>
  </si>
  <si>
    <t>Новые. Брать из библиотеки технолога</t>
  </si>
  <si>
    <t>ЛТИЯ.731111.017</t>
  </si>
  <si>
    <t>ЛТИЯ.731146.010</t>
  </si>
  <si>
    <t>актуализация/многое изменилось</t>
  </si>
  <si>
    <t>корр.после отработки</t>
  </si>
  <si>
    <t>O51290</t>
  </si>
  <si>
    <t>ПРТК.754142.025</t>
  </si>
  <si>
    <t>Прокладка</t>
  </si>
  <si>
    <t>ЛТИЯ.734311.012</t>
  </si>
  <si>
    <t>вывод УП для исправления брака</t>
  </si>
  <si>
    <t>ПБИН.716300.026</t>
  </si>
  <si>
    <t>кор-ка стратегии - ломало фрезу.</t>
  </si>
  <si>
    <t>внесение правок по итогу отработки УП - R2 закатывается фрезой D10б вместо hifeed</t>
  </si>
  <si>
    <t>новое</t>
  </si>
  <si>
    <t>ЛТИЯ.741134.512</t>
  </si>
  <si>
    <r>
      <t>Актуализация. Нет ни чертежа, ни маршрута, ни УП, ничего нет.</t>
    </r>
    <r>
      <rPr>
        <u/>
        <sz val="12"/>
        <color theme="1"/>
        <rFont val="Calibri"/>
        <family val="2"/>
        <charset val="204"/>
        <scheme val="minor"/>
      </rPr>
      <t xml:space="preserve"> Исправлен номер ДСЕ</t>
    </r>
  </si>
  <si>
    <t>КНП №1897</t>
  </si>
  <si>
    <t>Доработка ПБИН.745500.272-01 Уголок</t>
  </si>
  <si>
    <t>ГТ-Э6055.04.21.04-01</t>
  </si>
  <si>
    <t>Стакан тестовый ACCUWAY UT-200SY</t>
  </si>
  <si>
    <t>ПБИН.735214.006</t>
  </si>
  <si>
    <t>БФСО (мурманск)</t>
  </si>
  <si>
    <t>исправления в обработке, из-за неверной модели. Исключение гравировки</t>
  </si>
  <si>
    <t>отработка и корректировка</t>
  </si>
  <si>
    <t>ЛТИЯ.715141.026</t>
  </si>
  <si>
    <t>ПБИН.715113.021</t>
  </si>
  <si>
    <t xml:space="preserve">Стержень </t>
  </si>
  <si>
    <t>Цех</t>
  </si>
  <si>
    <t>Проблеммы с наличием инструмента.</t>
  </si>
  <si>
    <t>Тройник</t>
  </si>
  <si>
    <t>ПБИН.305155.026</t>
  </si>
  <si>
    <t>ЛТИЯ.741134.609</t>
  </si>
  <si>
    <t>ЖЯ8.130.696</t>
  </si>
  <si>
    <t>Колонка</t>
  </si>
  <si>
    <t>Иващенко в.В.</t>
  </si>
  <si>
    <t>ПБИН.741100.197</t>
  </si>
  <si>
    <t>РНО №248 Штуцер_ПБИН.753100.063</t>
  </si>
  <si>
    <t>ПБИН.753100.063</t>
  </si>
  <si>
    <t>РНО от 13.07.2025</t>
  </si>
  <si>
    <t>Фланец-изолятор</t>
  </si>
  <si>
    <t>ЛТИЯ.742121.003</t>
  </si>
  <si>
    <t>Проушина</t>
  </si>
  <si>
    <t>кор-ка под инструмент в наличии</t>
  </si>
  <si>
    <t>ПБИН.713700.032</t>
  </si>
  <si>
    <t>Пбин.715113.019</t>
  </si>
  <si>
    <t>ПБИН.715113.019</t>
  </si>
  <si>
    <t>ПБИН.715113.020</t>
  </si>
  <si>
    <t>ПБИН.715113.022</t>
  </si>
  <si>
    <t>ПБИН.715113.018</t>
  </si>
  <si>
    <t>ПБИН.746112.176</t>
  </si>
  <si>
    <t>Угольник</t>
  </si>
  <si>
    <t>ПБИН.745200.248-01</t>
  </si>
  <si>
    <t>ПБИН.745200.248</t>
  </si>
  <si>
    <t>Уголок</t>
  </si>
  <si>
    <t>ЛТИЯ.742121.003-01</t>
  </si>
  <si>
    <t>переделал под фрезу 50</t>
  </si>
  <si>
    <t>КНП №1927</t>
  </si>
  <si>
    <t xml:space="preserve">Доработка Балка_ЕКБЛТИЯ.301319.039 </t>
  </si>
  <si>
    <t xml:space="preserve">так же загружено в ЕКБЛТИЯ.301319.039 </t>
  </si>
  <si>
    <t>ПБИН.715523.001</t>
  </si>
  <si>
    <t>В маршруте нет 11402</t>
  </si>
  <si>
    <t>O62814</t>
  </si>
  <si>
    <t>ЛТИЯ.741138.112</t>
  </si>
  <si>
    <t>переписывание под фасочную фрезу</t>
  </si>
  <si>
    <t>Многоканальное цифровое устройство</t>
  </si>
  <si>
    <t>СЗ от 25.07.2025</t>
  </si>
  <si>
    <t>ЛТИЯ.741138.152</t>
  </si>
  <si>
    <t>ЛТИЯ.741138.152-01</t>
  </si>
  <si>
    <t>Исп. Брака.</t>
  </si>
  <si>
    <t>ЛТИЯ.711644.011</t>
  </si>
  <si>
    <t>ЛТИЯ.746373.001</t>
  </si>
  <si>
    <t>Кор. Режимов резания.</t>
  </si>
  <si>
    <t>ЛТИЯ.741316.006</t>
  </si>
  <si>
    <t xml:space="preserve">кор </t>
  </si>
  <si>
    <t>Изм. С тратегии по просьбе цеха.</t>
  </si>
  <si>
    <t xml:space="preserve">Не проходит кор. </t>
  </si>
  <si>
    <t>ЛТИЯ.741351.033</t>
  </si>
  <si>
    <t>Ребро</t>
  </si>
  <si>
    <t>ЛТИЯ.741221.746</t>
  </si>
  <si>
    <t>Упор</t>
  </si>
  <si>
    <t>ЛТИЯ.741141.054</t>
  </si>
  <si>
    <t>Пластина</t>
  </si>
  <si>
    <t>ЛТИЯ.745312.454</t>
  </si>
  <si>
    <t>СЗ от 29.07.2025</t>
  </si>
  <si>
    <t>Акт</t>
  </si>
  <si>
    <t>ГТ-Э6055.04.21.04-03</t>
  </si>
  <si>
    <t>Стакан тестовый HAAS SL-20</t>
  </si>
  <si>
    <t>ПБИН.723100.172</t>
  </si>
  <si>
    <t>ПБИН.723100.173</t>
  </si>
  <si>
    <t>ПБИН.723100.173-01</t>
  </si>
  <si>
    <t>ПБИН.723100.174</t>
  </si>
  <si>
    <t>Рама</t>
  </si>
  <si>
    <t>жп</t>
  </si>
  <si>
    <t>ЖЯ8.000.4420</t>
  </si>
  <si>
    <t>ЕКБЛТИЯ.752694.046</t>
  </si>
  <si>
    <t>неверное сверло под раскатник. Так же исправил ЛТИЯ.752694.046</t>
  </si>
  <si>
    <t>перевод выполнения резьбы м16х1.5 на 11403. Ускорение обработки.</t>
  </si>
  <si>
    <t>ЦЛИБ.741100.108</t>
  </si>
  <si>
    <t>ЦЛИБ.741100.108-01</t>
  </si>
  <si>
    <t>Задан вопрос технологам 05.08.25.</t>
  </si>
  <si>
    <t>исключение черновой фрезы 20, кор-ка стратегии по просьбе цеха.</t>
  </si>
  <si>
    <t>ЛТИЯ.741615.001-01</t>
  </si>
  <si>
    <t>O83264</t>
  </si>
  <si>
    <t>O83265</t>
  </si>
  <si>
    <t>ЛТИЯ.716311.001</t>
  </si>
  <si>
    <t>Палец</t>
  </si>
  <si>
    <t>корр под VT</t>
  </si>
  <si>
    <t>ПБИН.723200.043</t>
  </si>
  <si>
    <t>ЕКБЛТИЯ.741512.066</t>
  </si>
  <si>
    <t>ЛТИЯ.741224.105</t>
  </si>
  <si>
    <t>вывод УП под фактическую заготовку.</t>
  </si>
  <si>
    <t>ГТ-Э6097.11.00.01-01</t>
  </si>
  <si>
    <t>Плита (доработка)</t>
  </si>
  <si>
    <t>доработка плиты ГТ-Э6097.11.00.01</t>
  </si>
  <si>
    <t>ЛТИЯ.715162.003</t>
  </si>
  <si>
    <t>Гильза</t>
  </si>
  <si>
    <t>заменить резьбу М12х0,5 на М12х1,5</t>
  </si>
  <si>
    <t>ГТ-Э6075.02.24.13</t>
  </si>
  <si>
    <t>ГТ-Э6075.02.24.14</t>
  </si>
  <si>
    <t>ЕКБЛТИЯ.731151.002</t>
  </si>
  <si>
    <t>Кожух</t>
  </si>
  <si>
    <t>ЕР8.005.067</t>
  </si>
  <si>
    <t>ЖЯ8.695.114</t>
  </si>
  <si>
    <t>O82034</t>
  </si>
  <si>
    <t>O82035</t>
  </si>
  <si>
    <t>ПБИН.301261.071</t>
  </si>
  <si>
    <t>ПБИН.301261.071-01</t>
  </si>
  <si>
    <t>ПБИН.301261.071-02</t>
  </si>
  <si>
    <t>ПБИН.301261.071-03</t>
  </si>
  <si>
    <t>ПБИН.301261.071-04</t>
  </si>
  <si>
    <t>ПБИН.301261.071-05</t>
  </si>
  <si>
    <t>Добавил центровку отверстий М4</t>
  </si>
  <si>
    <t>ПБИН.745200.477</t>
  </si>
  <si>
    <t>Петля</t>
  </si>
  <si>
    <t>СЗ от 06.08.2025</t>
  </si>
  <si>
    <t>ГТ-205</t>
  </si>
  <si>
    <t>ЛТИЯ.712564.001</t>
  </si>
  <si>
    <t>ПБИН.741124.335</t>
  </si>
  <si>
    <t>ПРТК.713361.012</t>
  </si>
  <si>
    <t xml:space="preserve">Зажим </t>
  </si>
  <si>
    <t>ЛТИЯ.733111.024</t>
  </si>
  <si>
    <t>ЕКБЛТИЯ.741552.030</t>
  </si>
  <si>
    <t>ЛТИЯ.731311.001</t>
  </si>
  <si>
    <t>ПБИН.753694.001</t>
  </si>
  <si>
    <t>O51338</t>
  </si>
  <si>
    <t>VTurn - A20YCM</t>
  </si>
  <si>
    <t>ГТ-Э6055.04.21.04-02</t>
  </si>
  <si>
    <t>Стакан тестовый ACCUWAY UT-200</t>
  </si>
  <si>
    <t>ЛТИЯ.741244.029</t>
  </si>
  <si>
    <t>Плата</t>
  </si>
  <si>
    <t>ACCUWAY UT-200SY</t>
  </si>
  <si>
    <t>Актуализировать/нет 11402</t>
  </si>
  <si>
    <t>нет 11402/                          чертеж папка мурманска. \\volna.dmn\data\obmen\Служба Главного инженера\ОГТ\ЧПУ\Obmen\актуальные чертежи по Мурманску М2 от 29.08.2024</t>
  </si>
  <si>
    <t>В маршруте нет 11402/вопросы по КД к Константину Заикину</t>
  </si>
  <si>
    <t>ЛТИЯ.754323.001</t>
  </si>
  <si>
    <t>вернул потерянное отверстие</t>
  </si>
  <si>
    <t>ПБИН.711300.130</t>
  </si>
  <si>
    <t>Письмо БМЗП от 01.08.2025</t>
  </si>
  <si>
    <t>Написать УП с учётом изготовления отверстий из сборки ПБИН.305155.026 Вопросы к Трубицину М.</t>
  </si>
  <si>
    <t>ЖЯ8.000.442</t>
  </si>
  <si>
    <t>ПБИН.723100.172-01</t>
  </si>
  <si>
    <t>ПБИН.301513.010</t>
  </si>
  <si>
    <t>Антена приемная АПСА-1</t>
  </si>
  <si>
    <t>ЕР8.060.224</t>
  </si>
  <si>
    <t>ДСЕ???</t>
  </si>
  <si>
    <t>ЛТИЯ.741164.020-01</t>
  </si>
  <si>
    <t>ЛТИЯ.752694.001</t>
  </si>
  <si>
    <t>ЛТИЯ.741428.029</t>
  </si>
  <si>
    <t>СЗ от 18.03.2024</t>
  </si>
  <si>
    <t>СЗ от 21.12.2024</t>
  </si>
  <si>
    <t>Актуализация</t>
  </si>
  <si>
    <t>11102, Актуализация</t>
  </si>
  <si>
    <t>новая</t>
  </si>
  <si>
    <t>РПДМ и Стойка РПДУ-1000</t>
  </si>
  <si>
    <t>ЛТИЯ.711341.014</t>
  </si>
  <si>
    <t>Щечка</t>
  </si>
  <si>
    <t>ЛТИЯ.711341.015</t>
  </si>
  <si>
    <t>Письмо БМЗП от 13.08.2025</t>
  </si>
  <si>
    <t>ПБИН.752694.018</t>
  </si>
  <si>
    <t>Написать УП на операцию 11403 после нанесения покрытия. Чтобы снять покрытие с корпуса на поверхностях Н (пропылить). Проконсультироваться можно с Максом Т.</t>
  </si>
  <si>
    <t>ЭЛТИЯ.741622.023</t>
  </si>
  <si>
    <t>ЭЛТИЯ.741622.027</t>
  </si>
  <si>
    <t>Ширина-Н</t>
  </si>
  <si>
    <t>СЗ от 11.08.2025</t>
  </si>
  <si>
    <t>ЛТИЯ.713351.011</t>
  </si>
  <si>
    <t>Экран</t>
  </si>
  <si>
    <t>ЛТИЯ.713351.012</t>
  </si>
  <si>
    <t>ЛТИЯ.713651.001</t>
  </si>
  <si>
    <t>ЛТИЯ.757471.029</t>
  </si>
  <si>
    <t>Контакт</t>
  </si>
  <si>
    <t>ЛТИЯ.757471.540</t>
  </si>
  <si>
    <t>ЛТИЯ.757471.032</t>
  </si>
  <si>
    <t>ЛТИЯ.757471.030</t>
  </si>
  <si>
    <t>Омск (Соединитель ВЧ)</t>
  </si>
  <si>
    <t>Актуализация. КД в бумажном виде на столе Баранова П.Э. (оригиналы, беречь)</t>
  </si>
  <si>
    <t>СЗ от 17.07.2025</t>
  </si>
  <si>
    <t>ЛТИЯ.731213.021</t>
  </si>
  <si>
    <t>ЛТИЯ.731213.023</t>
  </si>
  <si>
    <t>ЛТИЯ.731213.020</t>
  </si>
  <si>
    <t>ЛТИЯ.731213.020-01</t>
  </si>
  <si>
    <t>ЛТИЯ.731213.022</t>
  </si>
  <si>
    <t>ЛТИЯ.741231.044</t>
  </si>
  <si>
    <t>Косынка</t>
  </si>
  <si>
    <t>ЛТИЯ.741231.044-01</t>
  </si>
  <si>
    <t>ЛТИЯ.741231.043</t>
  </si>
  <si>
    <t>ЛТИЯ.741231.043-01</t>
  </si>
  <si>
    <t>ЛТИЯ.745241.038</t>
  </si>
  <si>
    <t>СЗ от 24.07.2025</t>
  </si>
  <si>
    <t>РЛТУ.741224.012</t>
  </si>
  <si>
    <t>РЛТУ.741224.012-01</t>
  </si>
  <si>
    <t>РЛТУ.301421.003 Корпус стойки</t>
  </si>
  <si>
    <t>Письмо Гл.Тех. от 12.08.2025</t>
  </si>
  <si>
    <t>Корректировка в соответствии с КД из БТ (р-р 57), отослать письма технологам с указанием заготовки.</t>
  </si>
  <si>
    <t>ЛТИЯ.746621.134</t>
  </si>
  <si>
    <t>по просьбе Краснова А.А. разделил уп на 2 установа, в связи с отсутствием инструмента (фреза 10 удлиненная)</t>
  </si>
  <si>
    <t>ПБИН.301224.015</t>
  </si>
  <si>
    <t>ПБИН.301224.015-01</t>
  </si>
  <si>
    <t>ПБИН.301224.015-02</t>
  </si>
  <si>
    <t>ПБИН.301224.015-03</t>
  </si>
  <si>
    <t xml:space="preserve">актуализация, проверка КН на соответствие исполнениям и установам, корректировка режимов резания </t>
  </si>
  <si>
    <t>ЛТИЯ.746621.117</t>
  </si>
  <si>
    <t>Поперечина верхняя</t>
  </si>
  <si>
    <t>ошибка в модели</t>
  </si>
  <si>
    <t>ПБИН.713613.001</t>
  </si>
  <si>
    <t>Каркас</t>
  </si>
  <si>
    <t>Актуализация, обновить КН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</si>
</sst>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indexed="8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color indexed="8"/>
      <name val="MS Sans Serif"/>
      <family val="2"/>
      <charset val="204"/>
    </font>
    <font>
      <sz val="11"/>
      <color indexed="8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sz val="12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indexed="8"/>
      <name val="MS Sans Serif"/>
      <charset val="204"/>
    </font>
    <font>
      <b/>
      <sz val="11"/>
      <color theme="1"/>
      <name val="Calibri"/>
      <family val="2"/>
      <charset val="204"/>
      <scheme val="minor"/>
    </font>
    <font>
      <u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8" fillId="0" borderId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14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/>
    <xf numFmtId="0" fontId="15" fillId="0" borderId="0"/>
    <xf numFmtId="0" fontId="13" fillId="0" borderId="0"/>
  </cellStyleXfs>
  <cellXfs count="113">
    <xf numFmtId="0" fontId="0" fillId="0" borderId="0" xfId="0"/>
    <xf numFmtId="0" fontId="0" fillId="0" borderId="0" xfId="0" applyAlignment="1">
      <alignment horizontal="center" vertical="center"/>
    </xf>
    <xf numFmtId="0" fontId="5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49" fontId="3" fillId="0" borderId="2" xfId="0" applyNumberFormat="1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/>
    </xf>
    <xf numFmtId="49" fontId="3" fillId="0" borderId="2" xfId="0" applyNumberFormat="1" applyFont="1" applyBorder="1" applyAlignment="1">
      <alignment horizontal="left"/>
    </xf>
    <xf numFmtId="14" fontId="5" fillId="2" borderId="2" xfId="0" applyNumberFormat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1" fontId="5" fillId="0" borderId="2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7" fillId="2" borderId="9" xfId="0" applyNumberFormat="1" applyFont="1" applyFill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4" xfId="0" applyFont="1" applyFill="1" applyBorder="1" applyAlignment="1">
      <alignment horizontal="left" vertical="center"/>
    </xf>
    <xf numFmtId="14" fontId="5" fillId="0" borderId="2" xfId="0" applyNumberFormat="1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14" fontId="5" fillId="0" borderId="2" xfId="0" applyNumberFormat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" fontId="4" fillId="2" borderId="2" xfId="0" applyNumberFormat="1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vertical="center"/>
    </xf>
    <xf numFmtId="1" fontId="5" fillId="2" borderId="2" xfId="0" applyNumberFormat="1" applyFont="1" applyFill="1" applyBorder="1" applyAlignment="1">
      <alignment horizontal="center" vertical="center"/>
    </xf>
    <xf numFmtId="14" fontId="3" fillId="2" borderId="2" xfId="1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14" fontId="5" fillId="0" borderId="2" xfId="1" applyNumberFormat="1" applyFont="1" applyBorder="1" applyAlignment="1">
      <alignment horizontal="left" vertical="center"/>
    </xf>
    <xf numFmtId="49" fontId="5" fillId="0" borderId="2" xfId="0" applyNumberFormat="1" applyFont="1" applyFill="1" applyBorder="1" applyAlignment="1">
      <alignment horizontal="left" vertical="center"/>
    </xf>
    <xf numFmtId="14" fontId="5" fillId="0" borderId="2" xfId="1" applyNumberFormat="1" applyFont="1" applyFill="1" applyBorder="1" applyAlignment="1">
      <alignment horizontal="left" vertical="center"/>
    </xf>
    <xf numFmtId="1" fontId="4" fillId="0" borderId="2" xfId="0" applyNumberFormat="1" applyFont="1" applyBorder="1" applyAlignment="1">
      <alignment horizontal="center" vertical="center"/>
    </xf>
    <xf numFmtId="14" fontId="3" fillId="0" borderId="2" xfId="1" applyNumberFormat="1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2" borderId="10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0" fillId="0" borderId="2" xfId="0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/>
    </xf>
    <xf numFmtId="14" fontId="5" fillId="2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3" fillId="3" borderId="2" xfId="0" applyFont="1" applyFill="1" applyBorder="1"/>
    <xf numFmtId="49" fontId="3" fillId="0" borderId="2" xfId="0" applyNumberFormat="1" applyFont="1" applyFill="1" applyBorder="1" applyAlignment="1">
      <alignment horizontal="left"/>
    </xf>
    <xf numFmtId="0" fontId="3" fillId="0" borderId="2" xfId="0" applyFont="1" applyFill="1" applyBorder="1"/>
    <xf numFmtId="0" fontId="3" fillId="0" borderId="2" xfId="0" applyFont="1" applyBorder="1" applyAlignment="1">
      <alignment vertical="center"/>
    </xf>
    <xf numFmtId="0" fontId="3" fillId="2" borderId="9" xfId="0" applyNumberFormat="1" applyFont="1" applyFill="1" applyBorder="1" applyAlignment="1">
      <alignment horizontal="center" vertical="center"/>
    </xf>
    <xf numFmtId="0" fontId="3" fillId="7" borderId="3" xfId="0" applyFont="1" applyFill="1" applyBorder="1"/>
    <xf numFmtId="0" fontId="3" fillId="4" borderId="3" xfId="0" applyFont="1" applyFill="1" applyBorder="1"/>
    <xf numFmtId="14" fontId="3" fillId="0" borderId="2" xfId="0" applyNumberFormat="1" applyFont="1" applyBorder="1"/>
    <xf numFmtId="0" fontId="3" fillId="0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/>
    <xf numFmtId="0" fontId="3" fillId="0" borderId="9" xfId="0" applyFont="1" applyBorder="1" applyAlignment="1">
      <alignment horizontal="center" vertical="center"/>
    </xf>
    <xf numFmtId="0" fontId="3" fillId="0" borderId="0" xfId="0" applyFont="1"/>
    <xf numFmtId="0" fontId="5" fillId="0" borderId="2" xfId="0" applyFont="1" applyFill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>
      <alignment horizontal="left" vertical="center"/>
    </xf>
    <xf numFmtId="49" fontId="3" fillId="2" borderId="10" xfId="0" applyNumberFormat="1" applyFont="1" applyFill="1" applyBorder="1" applyAlignment="1">
      <alignment horizontal="left" vertical="center"/>
    </xf>
    <xf numFmtId="0" fontId="0" fillId="0" borderId="2" xfId="0" applyBorder="1" applyAlignment="1"/>
    <xf numFmtId="14" fontId="3" fillId="0" borderId="2" xfId="0" applyNumberFormat="1" applyFont="1" applyFill="1" applyBorder="1"/>
    <xf numFmtId="0" fontId="3" fillId="8" borderId="2" xfId="0" applyFont="1" applyFill="1" applyBorder="1"/>
    <xf numFmtId="0" fontId="3" fillId="0" borderId="3" xfId="0" applyFont="1" applyFill="1" applyBorder="1"/>
    <xf numFmtId="0" fontId="0" fillId="0" borderId="0" xfId="0" applyFill="1"/>
    <xf numFmtId="0" fontId="3" fillId="0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3" fillId="0" borderId="2" xfId="0" applyFont="1" applyFill="1" applyBorder="1" applyAlignment="1"/>
    <xf numFmtId="0" fontId="4" fillId="0" borderId="10" xfId="2" applyFont="1" applyFill="1" applyBorder="1" applyAlignment="1">
      <alignment horizontal="left" vertical="center"/>
    </xf>
    <xf numFmtId="0" fontId="3" fillId="2" borderId="8" xfId="0" applyNumberFormat="1" applyFont="1" applyFill="1" applyBorder="1" applyAlignment="1">
      <alignment horizontal="center" vertical="center"/>
    </xf>
    <xf numFmtId="14" fontId="3" fillId="7" borderId="2" xfId="0" applyNumberFormat="1" applyFont="1" applyFill="1" applyBorder="1" applyAlignment="1">
      <alignment horizontal="right"/>
    </xf>
    <xf numFmtId="14" fontId="3" fillId="7" borderId="2" xfId="0" applyNumberFormat="1" applyFont="1" applyFill="1" applyBorder="1"/>
    <xf numFmtId="14" fontId="3" fillId="0" borderId="2" xfId="0" applyNumberFormat="1" applyFont="1" applyBorder="1" applyAlignment="1">
      <alignment horizontal="right"/>
    </xf>
    <xf numFmtId="49" fontId="3" fillId="3" borderId="10" xfId="0" applyNumberFormat="1" applyFont="1" applyFill="1" applyBorder="1" applyAlignment="1">
      <alignment horizontal="left" vertical="center"/>
    </xf>
    <xf numFmtId="0" fontId="16" fillId="0" borderId="0" xfId="0" applyFont="1"/>
    <xf numFmtId="164" fontId="3" fillId="0" borderId="2" xfId="0" applyNumberFormat="1" applyFont="1" applyBorder="1"/>
    <xf numFmtId="0" fontId="3" fillId="0" borderId="4" xfId="0" applyFont="1" applyBorder="1"/>
    <xf numFmtId="0" fontId="1" fillId="0" borderId="11" xfId="0" applyFont="1" applyBorder="1"/>
    <xf numFmtId="0" fontId="1" fillId="0" borderId="5" xfId="0" applyFont="1" applyBorder="1"/>
    <xf numFmtId="14" fontId="3" fillId="7" borderId="4" xfId="0" applyNumberFormat="1" applyFont="1" applyFill="1" applyBorder="1"/>
    <xf numFmtId="14" fontId="3" fillId="0" borderId="4" xfId="0" applyNumberFormat="1" applyFont="1" applyBorder="1"/>
    <xf numFmtId="0" fontId="0" fillId="0" borderId="4" xfId="0" applyBorder="1"/>
    <xf numFmtId="0" fontId="16" fillId="0" borderId="6" xfId="0" applyFont="1" applyBorder="1"/>
    <xf numFmtId="0" fontId="1" fillId="0" borderId="5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0" xfId="0" applyBorder="1"/>
    <xf numFmtId="0" fontId="3" fillId="9" borderId="2" xfId="0" applyFont="1" applyFill="1" applyBorder="1"/>
    <xf numFmtId="0" fontId="3" fillId="0" borderId="0" xfId="0" applyFont="1" applyBorder="1"/>
    <xf numFmtId="0" fontId="3" fillId="0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6" fillId="0" borderId="2" xfId="0" applyFont="1" applyBorder="1"/>
    <xf numFmtId="0" fontId="3" fillId="2" borderId="2" xfId="0" applyFont="1" applyFill="1" applyBorder="1" applyAlignment="1" applyProtection="1">
      <alignment wrapText="1"/>
      <protection locked="0"/>
    </xf>
    <xf numFmtId="0" fontId="18" fillId="0" borderId="2" xfId="0" applyFont="1" applyBorder="1"/>
    <xf numFmtId="0" fontId="3" fillId="0" borderId="2" xfId="0" applyFont="1" applyBorder="1" applyAlignment="1">
      <alignment wrapText="1"/>
    </xf>
    <xf numFmtId="0" fontId="12" fillId="0" borderId="2" xfId="0" applyFont="1" applyBorder="1"/>
    <xf numFmtId="0" fontId="3" fillId="7" borderId="3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 wrapText="1"/>
    </xf>
    <xf numFmtId="0" fontId="12" fillId="4" borderId="3" xfId="0" applyFont="1" applyFill="1" applyBorder="1"/>
    <xf numFmtId="0" fontId="3" fillId="4" borderId="2" xfId="0" applyFont="1" applyFill="1" applyBorder="1"/>
    <xf numFmtId="14" fontId="3" fillId="4" borderId="2" xfId="0" applyNumberFormat="1" applyFont="1" applyFill="1" applyBorder="1" applyAlignment="1">
      <alignment horizontal="right"/>
    </xf>
    <xf numFmtId="14" fontId="3" fillId="4" borderId="2" xfId="0" applyNumberFormat="1" applyFont="1" applyFill="1" applyBorder="1"/>
  </cellXfs>
  <cellStyles count="19">
    <cellStyle name="20% - Акцент3 2" xfId="2"/>
    <cellStyle name="20% - Акцент4 2" xfId="3"/>
    <cellStyle name="Обычный" xfId="0" builtinId="0"/>
    <cellStyle name="Обычный 10" xfId="12"/>
    <cellStyle name="Обычный 11" xfId="13"/>
    <cellStyle name="Обычный 12" xfId="14"/>
    <cellStyle name="Обычный 13" xfId="15"/>
    <cellStyle name="Обычный 14" xfId="18"/>
    <cellStyle name="Обычный 15" xfId="4"/>
    <cellStyle name="Обычный 2" xfId="5"/>
    <cellStyle name="Обычный 2 2" xfId="16"/>
    <cellStyle name="Обычный 3" xfId="1"/>
    <cellStyle name="Обычный 4" xfId="6"/>
    <cellStyle name="Обычный 4 2" xfId="17"/>
    <cellStyle name="Обычный 5" xfId="7"/>
    <cellStyle name="Обычный 6" xfId="8"/>
    <cellStyle name="Обычный 7" xfId="9"/>
    <cellStyle name="Обычный 8" xfId="10"/>
    <cellStyle name="Обычный 9" xfId="11"/>
  </cellStyles>
  <dxfs count="18">
    <dxf>
      <font>
        <color rgb="FF9C0006"/>
      </font>
      <fill>
        <patternFill>
          <fgColor indexed="64"/>
          <bgColor rgb="FFFFC7CE"/>
        </pattern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0.5">
            <color theme="9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57150</xdr:rowOff>
        </xdr:from>
        <xdr:to>
          <xdr:col>3</xdr:col>
          <xdr:colOff>819150</xdr:colOff>
          <xdr:row>0</xdr:row>
          <xdr:rowOff>304800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Дубли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57150</xdr:rowOff>
        </xdr:from>
        <xdr:to>
          <xdr:col>3</xdr:col>
          <xdr:colOff>819150</xdr:colOff>
          <xdr:row>0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Дубли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85725</xdr:rowOff>
        </xdr:from>
        <xdr:to>
          <xdr:col>3</xdr:col>
          <xdr:colOff>628650</xdr:colOff>
          <xdr:row>0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Дубли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154"/>
  <sheetViews>
    <sheetView zoomScale="85" zoomScaleNormal="85" workbookViewId="0">
      <pane ySplit="1" topLeftCell="A128" activePane="bottomLeft" state="frozen"/>
      <selection pane="bottomLeft" activeCell="C140" sqref="C140:C146"/>
    </sheetView>
  </sheetViews>
  <sheetFormatPr defaultRowHeight="15.75" x14ac:dyDescent="0.25"/>
  <cols>
    <col min="1" max="1" width="4.5703125" style="21" customWidth="1"/>
    <col min="2" max="2" width="29.5703125" style="44" customWidth="1"/>
    <col min="3" max="3" width="50" style="45" customWidth="1"/>
    <col min="4" max="4" width="41.42578125" style="45" customWidth="1"/>
    <col min="5" max="5" width="47.7109375" style="45" customWidth="1"/>
    <col min="6" max="6" width="8.5703125" style="46" customWidth="1"/>
    <col min="7" max="7" width="11.28515625" style="46" bestFit="1" customWidth="1"/>
    <col min="8" max="8" width="21.42578125" style="47" customWidth="1"/>
    <col min="9" max="9" width="21.42578125" style="45" customWidth="1"/>
    <col min="10" max="10" width="9.5703125" style="45" customWidth="1"/>
    <col min="11" max="11" width="61.42578125" style="45" customWidth="1"/>
  </cols>
  <sheetData>
    <row r="1" spans="1:11" s="1" customFormat="1" ht="30" customHeight="1" thickBot="1" x14ac:dyDescent="0.3">
      <c r="A1" s="16" t="s">
        <v>0</v>
      </c>
      <c r="B1" s="15" t="s">
        <v>1</v>
      </c>
      <c r="C1" s="12" t="s">
        <v>2</v>
      </c>
      <c r="D1" s="12" t="s">
        <v>9</v>
      </c>
      <c r="E1" s="12" t="s">
        <v>3</v>
      </c>
      <c r="F1" s="13" t="s">
        <v>10</v>
      </c>
      <c r="G1" s="12" t="s">
        <v>4</v>
      </c>
      <c r="H1" s="12" t="s">
        <v>5</v>
      </c>
      <c r="I1" s="12" t="s">
        <v>6</v>
      </c>
      <c r="J1" s="13" t="s">
        <v>8</v>
      </c>
      <c r="K1" s="14" t="s">
        <v>7</v>
      </c>
    </row>
    <row r="2" spans="1:11" x14ac:dyDescent="0.25">
      <c r="A2" s="19">
        <f t="shared" ref="A2:A33" si="0">ROW()-1</f>
        <v>1</v>
      </c>
      <c r="B2" s="58" t="s">
        <v>470</v>
      </c>
      <c r="C2" s="45" t="s">
        <v>471</v>
      </c>
      <c r="D2" s="45" t="s">
        <v>467</v>
      </c>
      <c r="E2" s="45" t="s">
        <v>18</v>
      </c>
      <c r="F2" s="46" t="s">
        <v>12</v>
      </c>
      <c r="G2" s="46">
        <v>0</v>
      </c>
      <c r="H2" s="81">
        <v>45863</v>
      </c>
      <c r="I2" s="45" t="s">
        <v>17</v>
      </c>
      <c r="J2" s="45" t="s">
        <v>33</v>
      </c>
      <c r="K2" s="45" t="s">
        <v>332</v>
      </c>
    </row>
    <row r="3" spans="1:11" x14ac:dyDescent="0.25">
      <c r="A3" s="19">
        <f t="shared" si="0"/>
        <v>2</v>
      </c>
      <c r="B3" s="58" t="s">
        <v>483</v>
      </c>
      <c r="C3" s="45" t="s">
        <v>472</v>
      </c>
      <c r="D3" s="45" t="s">
        <v>475</v>
      </c>
      <c r="E3" s="45" t="s">
        <v>293</v>
      </c>
      <c r="F3" s="46" t="s">
        <v>12</v>
      </c>
      <c r="G3" s="46">
        <v>0</v>
      </c>
      <c r="H3" s="81">
        <v>45863</v>
      </c>
      <c r="I3" s="45" t="s">
        <v>17</v>
      </c>
      <c r="J3" s="45" t="s">
        <v>33</v>
      </c>
      <c r="K3" s="45" t="s">
        <v>332</v>
      </c>
    </row>
    <row r="4" spans="1:11" x14ac:dyDescent="0.25">
      <c r="A4" s="19">
        <f t="shared" si="0"/>
        <v>3</v>
      </c>
      <c r="B4" s="58" t="s">
        <v>483</v>
      </c>
      <c r="C4" s="45" t="s">
        <v>472</v>
      </c>
      <c r="D4" s="45" t="s">
        <v>476</v>
      </c>
      <c r="E4" s="45" t="s">
        <v>293</v>
      </c>
      <c r="F4" s="46" t="s">
        <v>12</v>
      </c>
      <c r="G4" s="46">
        <v>0</v>
      </c>
      <c r="H4" s="81">
        <v>45863</v>
      </c>
      <c r="I4" s="45" t="s">
        <v>17</v>
      </c>
      <c r="J4" s="45" t="s">
        <v>33</v>
      </c>
      <c r="K4" s="45" t="s">
        <v>332</v>
      </c>
    </row>
    <row r="5" spans="1:11" x14ac:dyDescent="0.25">
      <c r="A5" s="19">
        <f t="shared" si="0"/>
        <v>4</v>
      </c>
      <c r="B5" s="58" t="s">
        <v>483</v>
      </c>
      <c r="C5" s="45" t="s">
        <v>472</v>
      </c>
      <c r="D5" s="45" t="s">
        <v>480</v>
      </c>
      <c r="E5" s="45" t="s">
        <v>335</v>
      </c>
      <c r="F5" s="46" t="s">
        <v>12</v>
      </c>
      <c r="G5" s="46">
        <v>0</v>
      </c>
      <c r="H5" s="81">
        <v>45863</v>
      </c>
      <c r="I5" s="45" t="s">
        <v>17</v>
      </c>
      <c r="J5" s="45" t="s">
        <v>33</v>
      </c>
      <c r="K5" s="45" t="s">
        <v>332</v>
      </c>
    </row>
    <row r="6" spans="1:11" x14ac:dyDescent="0.25">
      <c r="A6" s="19">
        <f t="shared" si="0"/>
        <v>5</v>
      </c>
      <c r="B6" s="58" t="s">
        <v>484</v>
      </c>
      <c r="C6" s="45" t="s">
        <v>481</v>
      </c>
      <c r="D6" s="45" t="s">
        <v>482</v>
      </c>
      <c r="E6" s="45" t="s">
        <v>154</v>
      </c>
      <c r="F6" s="46" t="s">
        <v>12</v>
      </c>
      <c r="G6" s="46">
        <v>0</v>
      </c>
      <c r="H6" s="81">
        <v>45863</v>
      </c>
      <c r="I6" s="45" t="s">
        <v>17</v>
      </c>
      <c r="J6" s="45" t="s">
        <v>33</v>
      </c>
      <c r="K6" s="45" t="s">
        <v>332</v>
      </c>
    </row>
    <row r="7" spans="1:11" x14ac:dyDescent="0.25">
      <c r="A7" s="19">
        <f t="shared" si="0"/>
        <v>6</v>
      </c>
      <c r="B7" s="58"/>
      <c r="D7" s="55" t="s">
        <v>498</v>
      </c>
      <c r="E7" s="55" t="s">
        <v>82</v>
      </c>
      <c r="F7" s="46" t="s">
        <v>153</v>
      </c>
      <c r="G7" s="46">
        <v>5</v>
      </c>
      <c r="H7" s="111">
        <v>45863</v>
      </c>
      <c r="I7" s="45" t="s">
        <v>13</v>
      </c>
      <c r="K7" s="45" t="s">
        <v>499</v>
      </c>
    </row>
    <row r="8" spans="1:11" x14ac:dyDescent="0.25">
      <c r="A8" s="19">
        <f t="shared" si="0"/>
        <v>7</v>
      </c>
      <c r="B8" s="59"/>
      <c r="D8" s="45" t="s">
        <v>534</v>
      </c>
      <c r="E8" s="45" t="s">
        <v>535</v>
      </c>
      <c r="F8" s="46" t="s">
        <v>19</v>
      </c>
      <c r="G8" s="46">
        <v>1</v>
      </c>
      <c r="H8" s="111">
        <v>45866</v>
      </c>
      <c r="I8" s="45" t="s">
        <v>14</v>
      </c>
      <c r="J8" s="45" t="s">
        <v>109</v>
      </c>
    </row>
    <row r="9" spans="1:11" x14ac:dyDescent="0.25">
      <c r="A9" s="19">
        <f t="shared" si="0"/>
        <v>8</v>
      </c>
      <c r="B9" s="59"/>
      <c r="D9" s="45" t="s">
        <v>536</v>
      </c>
      <c r="E9" s="45" t="s">
        <v>233</v>
      </c>
      <c r="F9" s="46" t="s">
        <v>153</v>
      </c>
      <c r="G9" s="46">
        <v>1</v>
      </c>
      <c r="H9" s="111">
        <v>45866</v>
      </c>
      <c r="I9" s="45" t="s">
        <v>13</v>
      </c>
      <c r="J9" s="45" t="s">
        <v>31</v>
      </c>
      <c r="K9" s="45" t="s">
        <v>537</v>
      </c>
    </row>
    <row r="10" spans="1:11" x14ac:dyDescent="0.25">
      <c r="A10" s="19">
        <f t="shared" si="0"/>
        <v>9</v>
      </c>
      <c r="B10" s="59"/>
      <c r="D10" s="45" t="s">
        <v>538</v>
      </c>
      <c r="E10" s="45" t="s">
        <v>110</v>
      </c>
      <c r="F10" s="46" t="s">
        <v>153</v>
      </c>
      <c r="G10" s="46">
        <v>1</v>
      </c>
      <c r="H10" s="111">
        <v>45866</v>
      </c>
      <c r="I10" s="45" t="s">
        <v>13</v>
      </c>
      <c r="J10" s="45" t="s">
        <v>31</v>
      </c>
      <c r="K10" s="45" t="s">
        <v>539</v>
      </c>
    </row>
    <row r="11" spans="1:11" x14ac:dyDescent="0.25">
      <c r="A11" s="19">
        <f t="shared" si="0"/>
        <v>10</v>
      </c>
      <c r="B11" s="59"/>
      <c r="D11" s="55" t="s">
        <v>498</v>
      </c>
      <c r="E11" s="55" t="s">
        <v>82</v>
      </c>
      <c r="F11" s="46" t="s">
        <v>153</v>
      </c>
      <c r="G11" s="46">
        <v>1</v>
      </c>
      <c r="H11" s="111">
        <v>45866</v>
      </c>
      <c r="I11" s="45" t="s">
        <v>13</v>
      </c>
      <c r="J11" s="45" t="s">
        <v>31</v>
      </c>
      <c r="K11" s="45" t="s">
        <v>540</v>
      </c>
    </row>
    <row r="12" spans="1:11" x14ac:dyDescent="0.25">
      <c r="A12" s="19">
        <f t="shared" si="0"/>
        <v>11</v>
      </c>
      <c r="B12" s="59"/>
      <c r="D12" s="55" t="s">
        <v>498</v>
      </c>
      <c r="E12" s="55" t="s">
        <v>82</v>
      </c>
      <c r="F12" s="46" t="s">
        <v>153</v>
      </c>
      <c r="G12" s="46">
        <v>2</v>
      </c>
      <c r="H12" s="111">
        <v>45866</v>
      </c>
      <c r="I12" s="45" t="s">
        <v>13</v>
      </c>
      <c r="J12" s="45" t="s">
        <v>109</v>
      </c>
    </row>
    <row r="13" spans="1:11" x14ac:dyDescent="0.25">
      <c r="A13" s="19">
        <f t="shared" si="0"/>
        <v>12</v>
      </c>
      <c r="B13" s="59" t="s">
        <v>392</v>
      </c>
      <c r="D13" s="55" t="s">
        <v>388</v>
      </c>
      <c r="E13" s="55" t="s">
        <v>27</v>
      </c>
      <c r="F13" s="46" t="s">
        <v>153</v>
      </c>
      <c r="G13" s="46">
        <v>4</v>
      </c>
      <c r="H13" s="111">
        <v>45867</v>
      </c>
      <c r="I13" s="45" t="s">
        <v>13</v>
      </c>
      <c r="J13" s="45" t="s">
        <v>109</v>
      </c>
      <c r="K13" s="45" t="s">
        <v>390</v>
      </c>
    </row>
    <row r="14" spans="1:11" x14ac:dyDescent="0.25">
      <c r="A14" s="19">
        <f t="shared" si="0"/>
        <v>13</v>
      </c>
      <c r="B14" s="58" t="s">
        <v>470</v>
      </c>
      <c r="C14" s="45" t="s">
        <v>471</v>
      </c>
      <c r="D14" s="45" t="s">
        <v>468</v>
      </c>
      <c r="E14" s="45" t="s">
        <v>27</v>
      </c>
      <c r="F14" s="46" t="s">
        <v>12</v>
      </c>
      <c r="G14" s="46">
        <v>0</v>
      </c>
      <c r="H14" s="81">
        <v>45867</v>
      </c>
      <c r="I14" s="45" t="s">
        <v>24</v>
      </c>
      <c r="J14" s="45" t="s">
        <v>33</v>
      </c>
      <c r="K14" s="45" t="s">
        <v>332</v>
      </c>
    </row>
    <row r="15" spans="1:11" x14ac:dyDescent="0.25">
      <c r="A15" s="19">
        <f t="shared" si="0"/>
        <v>14</v>
      </c>
      <c r="B15" s="58" t="s">
        <v>470</v>
      </c>
      <c r="C15" s="45" t="s">
        <v>471</v>
      </c>
      <c r="D15" s="45" t="s">
        <v>469</v>
      </c>
      <c r="E15" s="45" t="s">
        <v>420</v>
      </c>
      <c r="F15" s="46" t="s">
        <v>12</v>
      </c>
      <c r="G15" s="46">
        <v>0</v>
      </c>
      <c r="H15" s="81">
        <v>45867</v>
      </c>
      <c r="I15" s="45" t="s">
        <v>24</v>
      </c>
      <c r="J15" s="45" t="s">
        <v>33</v>
      </c>
      <c r="K15" s="45" t="s">
        <v>332</v>
      </c>
    </row>
    <row r="16" spans="1:11" x14ac:dyDescent="0.25">
      <c r="A16" s="19">
        <f t="shared" si="0"/>
        <v>15</v>
      </c>
      <c r="B16" s="58" t="s">
        <v>483</v>
      </c>
      <c r="C16" s="45" t="s">
        <v>472</v>
      </c>
      <c r="D16" s="45" t="s">
        <v>473</v>
      </c>
      <c r="E16" s="45" t="s">
        <v>293</v>
      </c>
      <c r="F16" s="46" t="s">
        <v>12</v>
      </c>
      <c r="G16" s="46">
        <v>0</v>
      </c>
      <c r="H16" s="81">
        <v>45867</v>
      </c>
      <c r="I16" s="45" t="s">
        <v>24</v>
      </c>
      <c r="J16" s="45" t="s">
        <v>33</v>
      </c>
      <c r="K16" s="45" t="s">
        <v>332</v>
      </c>
    </row>
    <row r="17" spans="1:11" x14ac:dyDescent="0.25">
      <c r="A17" s="19">
        <f t="shared" si="0"/>
        <v>16</v>
      </c>
      <c r="B17" s="58" t="s">
        <v>483</v>
      </c>
      <c r="C17" s="45" t="s">
        <v>472</v>
      </c>
      <c r="D17" s="45" t="s">
        <v>477</v>
      </c>
      <c r="E17" s="45" t="s">
        <v>154</v>
      </c>
      <c r="F17" s="46" t="s">
        <v>12</v>
      </c>
      <c r="G17" s="46">
        <v>0</v>
      </c>
      <c r="H17" s="81">
        <v>45867</v>
      </c>
      <c r="I17" s="45" t="s">
        <v>24</v>
      </c>
      <c r="J17" s="45" t="s">
        <v>33</v>
      </c>
      <c r="K17" s="45" t="s">
        <v>332</v>
      </c>
    </row>
    <row r="18" spans="1:11" x14ac:dyDescent="0.25">
      <c r="A18" s="19">
        <f t="shared" si="0"/>
        <v>17</v>
      </c>
      <c r="B18" s="58" t="s">
        <v>483</v>
      </c>
      <c r="C18" s="45" t="s">
        <v>472</v>
      </c>
      <c r="D18" s="45" t="s">
        <v>479</v>
      </c>
      <c r="E18" s="45" t="s">
        <v>23</v>
      </c>
      <c r="F18" s="46" t="s">
        <v>12</v>
      </c>
      <c r="G18" s="46">
        <v>1</v>
      </c>
      <c r="H18" s="111">
        <v>45867</v>
      </c>
      <c r="I18" s="45" t="s">
        <v>24</v>
      </c>
      <c r="J18" s="45" t="s">
        <v>33</v>
      </c>
      <c r="K18" s="45" t="s">
        <v>332</v>
      </c>
    </row>
    <row r="19" spans="1:11" x14ac:dyDescent="0.25">
      <c r="A19" s="19">
        <f t="shared" si="0"/>
        <v>18</v>
      </c>
      <c r="B19" s="58" t="s">
        <v>593</v>
      </c>
      <c r="C19" s="45" t="s">
        <v>592</v>
      </c>
      <c r="D19" s="45" t="s">
        <v>529</v>
      </c>
      <c r="E19" s="45" t="s">
        <v>27</v>
      </c>
      <c r="F19" s="46" t="s">
        <v>19</v>
      </c>
      <c r="G19" s="46">
        <v>6</v>
      </c>
      <c r="H19" s="111">
        <v>45867</v>
      </c>
      <c r="I19" s="45" t="s">
        <v>17</v>
      </c>
      <c r="J19" s="45" t="s">
        <v>33</v>
      </c>
      <c r="K19" s="45" t="s">
        <v>541</v>
      </c>
    </row>
    <row r="20" spans="1:11" x14ac:dyDescent="0.25">
      <c r="A20" s="19">
        <f t="shared" si="0"/>
        <v>19</v>
      </c>
      <c r="B20" s="59"/>
      <c r="D20" s="45" t="s">
        <v>544</v>
      </c>
      <c r="E20" s="45" t="s">
        <v>545</v>
      </c>
      <c r="F20" s="46" t="s">
        <v>19</v>
      </c>
      <c r="G20" s="46">
        <v>1</v>
      </c>
      <c r="H20" s="111">
        <v>45867</v>
      </c>
      <c r="I20" s="45" t="s">
        <v>24</v>
      </c>
      <c r="J20" s="45" t="s">
        <v>33</v>
      </c>
    </row>
    <row r="21" spans="1:11" x14ac:dyDescent="0.25">
      <c r="A21" s="19">
        <f t="shared" si="0"/>
        <v>20</v>
      </c>
      <c r="B21" s="59"/>
      <c r="C21" s="45" t="s">
        <v>549</v>
      </c>
      <c r="D21" s="45" t="s">
        <v>548</v>
      </c>
      <c r="E21" s="45" t="s">
        <v>18</v>
      </c>
      <c r="F21" s="46" t="s">
        <v>153</v>
      </c>
      <c r="G21" s="46">
        <v>2</v>
      </c>
      <c r="H21" s="111">
        <v>45868</v>
      </c>
      <c r="I21" s="45" t="s">
        <v>13</v>
      </c>
      <c r="J21" s="45" t="s">
        <v>31</v>
      </c>
      <c r="K21" s="45" t="s">
        <v>550</v>
      </c>
    </row>
    <row r="22" spans="1:11" x14ac:dyDescent="0.25">
      <c r="A22" s="19">
        <f t="shared" si="0"/>
        <v>21</v>
      </c>
      <c r="B22" s="59"/>
      <c r="D22" s="45" t="s">
        <v>552</v>
      </c>
      <c r="E22" s="45" t="s">
        <v>15</v>
      </c>
      <c r="F22" s="46" t="s">
        <v>19</v>
      </c>
      <c r="G22" s="46">
        <v>2</v>
      </c>
      <c r="H22" s="111">
        <v>45868</v>
      </c>
      <c r="I22" s="45" t="s">
        <v>14</v>
      </c>
      <c r="J22" s="45" t="s">
        <v>109</v>
      </c>
    </row>
    <row r="23" spans="1:11" x14ac:dyDescent="0.25">
      <c r="A23" s="19">
        <f t="shared" si="0"/>
        <v>22</v>
      </c>
      <c r="B23" s="59"/>
      <c r="D23" s="45" t="s">
        <v>553</v>
      </c>
      <c r="E23" s="45" t="s">
        <v>554</v>
      </c>
      <c r="F23" s="46" t="s">
        <v>16</v>
      </c>
      <c r="G23" s="46">
        <v>11</v>
      </c>
      <c r="H23" s="112">
        <v>45868</v>
      </c>
      <c r="I23" s="45" t="s">
        <v>17</v>
      </c>
      <c r="J23" s="45" t="s">
        <v>555</v>
      </c>
      <c r="K23" s="45" t="s">
        <v>556</v>
      </c>
    </row>
    <row r="24" spans="1:11" x14ac:dyDescent="0.25">
      <c r="A24" s="19">
        <f t="shared" si="0"/>
        <v>23</v>
      </c>
      <c r="B24" s="58" t="s">
        <v>593</v>
      </c>
      <c r="C24" s="45" t="s">
        <v>592</v>
      </c>
      <c r="D24" s="45" t="s">
        <v>530</v>
      </c>
      <c r="E24" s="45" t="s">
        <v>27</v>
      </c>
      <c r="F24" s="46" t="s">
        <v>19</v>
      </c>
      <c r="G24" s="46">
        <v>7</v>
      </c>
      <c r="H24" s="111">
        <v>45869</v>
      </c>
      <c r="I24" s="45" t="s">
        <v>17</v>
      </c>
      <c r="J24" s="45" t="s">
        <v>33</v>
      </c>
      <c r="K24" s="45" t="s">
        <v>531</v>
      </c>
    </row>
    <row r="25" spans="1:11" x14ac:dyDescent="0.25">
      <c r="A25" s="19">
        <f t="shared" si="0"/>
        <v>24</v>
      </c>
      <c r="B25" s="59"/>
      <c r="D25" s="45" t="s">
        <v>558</v>
      </c>
      <c r="E25" s="45" t="s">
        <v>557</v>
      </c>
      <c r="F25" s="46" t="s">
        <v>108</v>
      </c>
      <c r="G25" s="46">
        <v>5</v>
      </c>
      <c r="H25" s="111">
        <v>45869</v>
      </c>
      <c r="I25" s="45" t="s">
        <v>13</v>
      </c>
    </row>
    <row r="26" spans="1:11" x14ac:dyDescent="0.25">
      <c r="A26" s="19">
        <f t="shared" si="0"/>
        <v>25</v>
      </c>
      <c r="B26" s="59"/>
      <c r="D26" s="45" t="s">
        <v>559</v>
      </c>
      <c r="E26" s="45" t="s">
        <v>23</v>
      </c>
      <c r="F26" s="46" t="s">
        <v>16</v>
      </c>
      <c r="G26" s="46">
        <v>1</v>
      </c>
      <c r="H26" s="111">
        <v>45869</v>
      </c>
      <c r="I26" s="45" t="s">
        <v>17</v>
      </c>
      <c r="J26" s="45" t="s">
        <v>363</v>
      </c>
    </row>
    <row r="27" spans="1:11" x14ac:dyDescent="0.25">
      <c r="A27" s="19">
        <f t="shared" si="0"/>
        <v>26</v>
      </c>
      <c r="B27" s="59"/>
      <c r="D27" s="45" t="s">
        <v>560</v>
      </c>
      <c r="E27" s="45" t="s">
        <v>561</v>
      </c>
      <c r="F27" s="46" t="s">
        <v>16</v>
      </c>
      <c r="G27" s="46">
        <v>0</v>
      </c>
      <c r="H27" s="81">
        <v>45869</v>
      </c>
      <c r="I27" s="45" t="s">
        <v>17</v>
      </c>
      <c r="J27" s="45" t="s">
        <v>363</v>
      </c>
    </row>
    <row r="28" spans="1:11" x14ac:dyDescent="0.25">
      <c r="A28" s="19">
        <f t="shared" si="0"/>
        <v>27</v>
      </c>
      <c r="B28" s="59"/>
      <c r="D28" s="45" t="s">
        <v>563</v>
      </c>
      <c r="E28" s="45" t="s">
        <v>23</v>
      </c>
      <c r="F28" s="46" t="s">
        <v>16</v>
      </c>
      <c r="G28" s="46">
        <v>2</v>
      </c>
      <c r="H28" s="111">
        <v>45869</v>
      </c>
      <c r="I28" s="45" t="s">
        <v>17</v>
      </c>
      <c r="J28" s="45" t="s">
        <v>363</v>
      </c>
    </row>
    <row r="29" spans="1:11" x14ac:dyDescent="0.25">
      <c r="A29" s="19">
        <f t="shared" si="0"/>
        <v>28</v>
      </c>
      <c r="B29" s="58"/>
      <c r="D29" s="100" t="s">
        <v>689</v>
      </c>
      <c r="E29" s="100" t="s">
        <v>567</v>
      </c>
      <c r="F29" s="46" t="s">
        <v>19</v>
      </c>
      <c r="G29" s="46">
        <v>2</v>
      </c>
      <c r="H29" s="111">
        <v>45869</v>
      </c>
      <c r="I29" s="45" t="s">
        <v>17</v>
      </c>
      <c r="J29" s="45" t="s">
        <v>31</v>
      </c>
    </row>
    <row r="30" spans="1:11" x14ac:dyDescent="0.25">
      <c r="A30" s="19">
        <f t="shared" si="0"/>
        <v>29</v>
      </c>
      <c r="B30" s="58" t="s">
        <v>464</v>
      </c>
      <c r="C30" s="45" t="s">
        <v>374</v>
      </c>
      <c r="D30" s="45" t="s">
        <v>446</v>
      </c>
      <c r="E30" s="45" t="s">
        <v>336</v>
      </c>
      <c r="F30" s="46" t="s">
        <v>12</v>
      </c>
      <c r="G30" s="46">
        <v>0</v>
      </c>
      <c r="H30" s="81">
        <v>45870</v>
      </c>
      <c r="I30" s="45" t="s">
        <v>20</v>
      </c>
      <c r="J30" s="45" t="s">
        <v>33</v>
      </c>
      <c r="K30" s="45" t="s">
        <v>332</v>
      </c>
    </row>
    <row r="31" spans="1:11" x14ac:dyDescent="0.25">
      <c r="A31" s="19">
        <f t="shared" si="0"/>
        <v>30</v>
      </c>
      <c r="B31" s="58" t="s">
        <v>464</v>
      </c>
      <c r="C31" s="45" t="s">
        <v>374</v>
      </c>
      <c r="D31" s="45" t="s">
        <v>447</v>
      </c>
      <c r="E31" s="45" t="s">
        <v>336</v>
      </c>
      <c r="F31" s="46" t="s">
        <v>12</v>
      </c>
      <c r="G31" s="46">
        <v>0</v>
      </c>
      <c r="H31" s="81">
        <v>45870</v>
      </c>
      <c r="I31" s="45" t="s">
        <v>20</v>
      </c>
      <c r="J31" s="45" t="s">
        <v>33</v>
      </c>
      <c r="K31" s="45" t="s">
        <v>332</v>
      </c>
    </row>
    <row r="32" spans="1:11" x14ac:dyDescent="0.25">
      <c r="A32" s="19">
        <f t="shared" si="0"/>
        <v>31</v>
      </c>
      <c r="B32" s="58" t="s">
        <v>464</v>
      </c>
      <c r="C32" s="45" t="s">
        <v>374</v>
      </c>
      <c r="D32" s="45" t="s">
        <v>450</v>
      </c>
      <c r="E32" s="45" t="s">
        <v>292</v>
      </c>
      <c r="F32" s="46" t="s">
        <v>12</v>
      </c>
      <c r="G32" s="46">
        <v>0</v>
      </c>
      <c r="H32" s="81">
        <v>45870</v>
      </c>
      <c r="I32" s="45" t="s">
        <v>20</v>
      </c>
      <c r="J32" s="45" t="s">
        <v>33</v>
      </c>
      <c r="K32" s="45" t="s">
        <v>332</v>
      </c>
    </row>
    <row r="33" spans="1:11" x14ac:dyDescent="0.25">
      <c r="A33" s="19">
        <f t="shared" si="0"/>
        <v>32</v>
      </c>
      <c r="B33" s="58" t="s">
        <v>464</v>
      </c>
      <c r="C33" s="45" t="s">
        <v>374</v>
      </c>
      <c r="D33" s="45" t="s">
        <v>451</v>
      </c>
      <c r="E33" s="45" t="s">
        <v>292</v>
      </c>
      <c r="F33" s="46" t="s">
        <v>12</v>
      </c>
      <c r="G33" s="46">
        <v>0</v>
      </c>
      <c r="H33" s="81">
        <v>45870</v>
      </c>
      <c r="I33" s="45" t="s">
        <v>20</v>
      </c>
      <c r="J33" s="45" t="s">
        <v>33</v>
      </c>
      <c r="K33" s="45" t="s">
        <v>332</v>
      </c>
    </row>
    <row r="34" spans="1:11" x14ac:dyDescent="0.25">
      <c r="A34" s="19">
        <f t="shared" ref="A34:A65" si="1">ROW()-1</f>
        <v>33</v>
      </c>
      <c r="B34" s="59"/>
      <c r="D34" s="45" t="s">
        <v>568</v>
      </c>
      <c r="E34" s="45" t="s">
        <v>569</v>
      </c>
      <c r="F34" s="46" t="s">
        <v>153</v>
      </c>
      <c r="G34" s="46">
        <v>1</v>
      </c>
      <c r="H34" s="79">
        <v>45870</v>
      </c>
      <c r="I34" s="45" t="s">
        <v>13</v>
      </c>
      <c r="J34" s="45" t="s">
        <v>31</v>
      </c>
      <c r="K34" s="45" t="s">
        <v>570</v>
      </c>
    </row>
    <row r="35" spans="1:11" x14ac:dyDescent="0.25">
      <c r="A35" s="19">
        <f t="shared" si="1"/>
        <v>34</v>
      </c>
      <c r="D35" s="45" t="s">
        <v>571</v>
      </c>
      <c r="E35" s="45" t="s">
        <v>38</v>
      </c>
      <c r="F35" s="46" t="s">
        <v>153</v>
      </c>
      <c r="G35" s="46">
        <v>1</v>
      </c>
      <c r="H35" s="79">
        <v>45870</v>
      </c>
      <c r="I35" s="45" t="s">
        <v>13</v>
      </c>
      <c r="J35" s="45" t="s">
        <v>31</v>
      </c>
      <c r="K35" s="45" t="s">
        <v>570</v>
      </c>
    </row>
    <row r="36" spans="1:11" x14ac:dyDescent="0.25">
      <c r="A36" s="19">
        <f t="shared" si="1"/>
        <v>35</v>
      </c>
      <c r="D36" s="45" t="s">
        <v>573</v>
      </c>
      <c r="E36" s="45" t="s">
        <v>104</v>
      </c>
      <c r="F36" s="46" t="s">
        <v>16</v>
      </c>
      <c r="G36" s="46">
        <v>6</v>
      </c>
      <c r="H36" s="79">
        <v>45870</v>
      </c>
      <c r="I36" s="45" t="s">
        <v>14</v>
      </c>
      <c r="J36" s="45" t="s">
        <v>555</v>
      </c>
      <c r="K36" s="45" t="s">
        <v>556</v>
      </c>
    </row>
    <row r="37" spans="1:11" x14ac:dyDescent="0.25">
      <c r="A37" s="19">
        <f t="shared" si="1"/>
        <v>36</v>
      </c>
      <c r="D37" s="45" t="s">
        <v>574</v>
      </c>
      <c r="E37" s="45" t="s">
        <v>104</v>
      </c>
      <c r="F37" s="46" t="s">
        <v>16</v>
      </c>
      <c r="G37" s="46">
        <v>8</v>
      </c>
      <c r="H37" s="79">
        <v>45870</v>
      </c>
      <c r="I37" s="45" t="s">
        <v>14</v>
      </c>
      <c r="J37" s="45" t="s">
        <v>555</v>
      </c>
      <c r="K37" s="45" t="s">
        <v>556</v>
      </c>
    </row>
    <row r="38" spans="1:11" x14ac:dyDescent="0.25">
      <c r="A38" s="19">
        <f t="shared" si="1"/>
        <v>37</v>
      </c>
      <c r="D38" s="45" t="s">
        <v>575</v>
      </c>
      <c r="E38" s="45" t="s">
        <v>104</v>
      </c>
      <c r="F38" s="46" t="s">
        <v>16</v>
      </c>
      <c r="G38" s="46">
        <v>6</v>
      </c>
      <c r="H38" s="79">
        <v>45870</v>
      </c>
      <c r="I38" s="45" t="s">
        <v>14</v>
      </c>
      <c r="J38" s="45" t="s">
        <v>555</v>
      </c>
      <c r="K38" s="45" t="s">
        <v>556</v>
      </c>
    </row>
    <row r="39" spans="1:11" x14ac:dyDescent="0.25">
      <c r="A39" s="19">
        <f t="shared" si="1"/>
        <v>38</v>
      </c>
      <c r="D39" s="45" t="s">
        <v>577</v>
      </c>
      <c r="E39" s="45" t="s">
        <v>578</v>
      </c>
      <c r="F39" s="46" t="s">
        <v>16</v>
      </c>
      <c r="G39" s="46">
        <v>1</v>
      </c>
      <c r="H39" s="79">
        <v>45870</v>
      </c>
      <c r="I39" s="45" t="s">
        <v>20</v>
      </c>
      <c r="J39" s="45" t="s">
        <v>555</v>
      </c>
      <c r="K39" s="45" t="s">
        <v>556</v>
      </c>
    </row>
    <row r="40" spans="1:11" x14ac:dyDescent="0.25">
      <c r="A40" s="19">
        <f t="shared" si="1"/>
        <v>39</v>
      </c>
      <c r="B40" s="58" t="s">
        <v>464</v>
      </c>
      <c r="C40" s="45" t="s">
        <v>374</v>
      </c>
      <c r="D40" s="45" t="s">
        <v>452</v>
      </c>
      <c r="E40" s="45" t="s">
        <v>292</v>
      </c>
      <c r="F40" s="46" t="s">
        <v>16</v>
      </c>
      <c r="G40" s="46">
        <v>3</v>
      </c>
      <c r="H40" s="79">
        <v>45871</v>
      </c>
      <c r="I40" s="45" t="s">
        <v>20</v>
      </c>
      <c r="J40" s="45" t="s">
        <v>33</v>
      </c>
      <c r="K40" s="45" t="s">
        <v>332</v>
      </c>
    </row>
    <row r="41" spans="1:11" x14ac:dyDescent="0.25">
      <c r="A41" s="19">
        <f t="shared" si="1"/>
        <v>40</v>
      </c>
      <c r="B41" s="58" t="s">
        <v>464</v>
      </c>
      <c r="C41" s="45" t="s">
        <v>374</v>
      </c>
      <c r="D41" s="45" t="s">
        <v>453</v>
      </c>
      <c r="E41" s="45" t="s">
        <v>292</v>
      </c>
      <c r="F41" s="46" t="s">
        <v>16</v>
      </c>
      <c r="G41" s="46">
        <v>3</v>
      </c>
      <c r="H41" s="79">
        <v>45871</v>
      </c>
      <c r="I41" s="45" t="s">
        <v>20</v>
      </c>
      <c r="J41" s="45" t="s">
        <v>33</v>
      </c>
      <c r="K41" s="45" t="s">
        <v>332</v>
      </c>
    </row>
    <row r="42" spans="1:11" x14ac:dyDescent="0.25">
      <c r="A42" s="19">
        <f t="shared" si="1"/>
        <v>41</v>
      </c>
      <c r="D42" s="45" t="s">
        <v>576</v>
      </c>
      <c r="E42" s="45" t="s">
        <v>104</v>
      </c>
      <c r="F42" s="46" t="s">
        <v>16</v>
      </c>
      <c r="G42" s="46">
        <v>8</v>
      </c>
      <c r="H42" s="79">
        <v>45871</v>
      </c>
      <c r="I42" s="45" t="s">
        <v>20</v>
      </c>
      <c r="J42" s="45" t="s">
        <v>31</v>
      </c>
      <c r="K42" s="45" t="s">
        <v>556</v>
      </c>
    </row>
    <row r="43" spans="1:11" x14ac:dyDescent="0.25">
      <c r="A43" s="19">
        <f t="shared" si="1"/>
        <v>42</v>
      </c>
      <c r="B43" s="59" t="s">
        <v>408</v>
      </c>
      <c r="C43" s="45" t="s">
        <v>407</v>
      </c>
      <c r="D43" s="45" t="s">
        <v>406</v>
      </c>
      <c r="E43" s="45" t="s">
        <v>154</v>
      </c>
      <c r="F43" s="46" t="s">
        <v>12</v>
      </c>
      <c r="G43" s="46">
        <v>0</v>
      </c>
      <c r="H43" s="81">
        <v>45872</v>
      </c>
      <c r="I43" s="45" t="s">
        <v>24</v>
      </c>
      <c r="J43" s="45" t="s">
        <v>33</v>
      </c>
      <c r="K43" s="45" t="s">
        <v>409</v>
      </c>
    </row>
    <row r="44" spans="1:11" x14ac:dyDescent="0.25">
      <c r="A44" s="19">
        <f t="shared" si="1"/>
        <v>43</v>
      </c>
      <c r="B44" s="58" t="s">
        <v>464</v>
      </c>
      <c r="C44" s="45" t="s">
        <v>374</v>
      </c>
      <c r="D44" s="45" t="s">
        <v>456</v>
      </c>
      <c r="E44" s="45" t="s">
        <v>292</v>
      </c>
      <c r="F44" s="46" t="s">
        <v>12</v>
      </c>
      <c r="G44" s="46">
        <v>0</v>
      </c>
      <c r="H44" s="81">
        <v>45872</v>
      </c>
      <c r="I44" s="45" t="s">
        <v>20</v>
      </c>
      <c r="J44" s="45" t="s">
        <v>33</v>
      </c>
      <c r="K44" s="45" t="s">
        <v>332</v>
      </c>
    </row>
    <row r="45" spans="1:11" x14ac:dyDescent="0.25">
      <c r="A45" s="19">
        <f t="shared" si="1"/>
        <v>44</v>
      </c>
      <c r="B45" s="58" t="s">
        <v>464</v>
      </c>
      <c r="C45" s="45" t="s">
        <v>374</v>
      </c>
      <c r="D45" s="45" t="s">
        <v>457</v>
      </c>
      <c r="E45" s="45" t="s">
        <v>292</v>
      </c>
      <c r="F45" s="46" t="s">
        <v>12</v>
      </c>
      <c r="G45" s="46">
        <v>0</v>
      </c>
      <c r="H45" s="81">
        <v>45872</v>
      </c>
      <c r="I45" s="45" t="s">
        <v>20</v>
      </c>
      <c r="J45" s="45" t="s">
        <v>33</v>
      </c>
      <c r="K45" s="45" t="s">
        <v>332</v>
      </c>
    </row>
    <row r="46" spans="1:11" x14ac:dyDescent="0.25">
      <c r="A46" s="19">
        <f t="shared" si="1"/>
        <v>45</v>
      </c>
      <c r="B46" s="58" t="s">
        <v>464</v>
      </c>
      <c r="C46" s="45" t="s">
        <v>374</v>
      </c>
      <c r="D46" s="45" t="s">
        <v>458</v>
      </c>
      <c r="E46" s="45" t="s">
        <v>292</v>
      </c>
      <c r="F46" s="46" t="s">
        <v>12</v>
      </c>
      <c r="G46" s="46">
        <v>0</v>
      </c>
      <c r="H46" s="81">
        <v>45872</v>
      </c>
      <c r="I46" s="45" t="s">
        <v>20</v>
      </c>
      <c r="J46" s="45" t="s">
        <v>33</v>
      </c>
      <c r="K46" s="45" t="s">
        <v>332</v>
      </c>
    </row>
    <row r="47" spans="1:11" x14ac:dyDescent="0.25">
      <c r="A47" s="19">
        <f t="shared" si="1"/>
        <v>46</v>
      </c>
      <c r="B47" s="58" t="s">
        <v>464</v>
      </c>
      <c r="C47" s="45" t="s">
        <v>374</v>
      </c>
      <c r="D47" s="45" t="s">
        <v>459</v>
      </c>
      <c r="E47" s="45" t="s">
        <v>292</v>
      </c>
      <c r="F47" s="46" t="s">
        <v>12</v>
      </c>
      <c r="G47" s="46">
        <v>0</v>
      </c>
      <c r="H47" s="81">
        <v>45872</v>
      </c>
      <c r="I47" s="45" t="s">
        <v>20</v>
      </c>
      <c r="J47" s="45" t="s">
        <v>33</v>
      </c>
      <c r="K47" s="45" t="s">
        <v>332</v>
      </c>
    </row>
    <row r="48" spans="1:11" x14ac:dyDescent="0.25">
      <c r="A48" s="19">
        <f t="shared" si="1"/>
        <v>47</v>
      </c>
      <c r="B48" s="58" t="s">
        <v>464</v>
      </c>
      <c r="C48" s="45" t="s">
        <v>374</v>
      </c>
      <c r="D48" s="45" t="s">
        <v>460</v>
      </c>
      <c r="E48" s="45" t="s">
        <v>292</v>
      </c>
      <c r="F48" s="46" t="s">
        <v>16</v>
      </c>
      <c r="G48" s="46">
        <v>2</v>
      </c>
      <c r="H48" s="79">
        <v>45872</v>
      </c>
      <c r="I48" s="45" t="s">
        <v>20</v>
      </c>
      <c r="J48" s="45" t="s">
        <v>33</v>
      </c>
      <c r="K48" s="45" t="s">
        <v>332</v>
      </c>
    </row>
    <row r="49" spans="1:11" x14ac:dyDescent="0.25">
      <c r="A49" s="19">
        <f t="shared" si="1"/>
        <v>48</v>
      </c>
      <c r="B49" s="58" t="s">
        <v>464</v>
      </c>
      <c r="C49" s="45" t="s">
        <v>374</v>
      </c>
      <c r="D49" s="45" t="s">
        <v>461</v>
      </c>
      <c r="E49" s="45" t="s">
        <v>292</v>
      </c>
      <c r="F49" s="46" t="s">
        <v>16</v>
      </c>
      <c r="G49" s="46">
        <v>3</v>
      </c>
      <c r="H49" s="79">
        <v>45872</v>
      </c>
      <c r="I49" s="45" t="s">
        <v>20</v>
      </c>
      <c r="J49" s="45" t="s">
        <v>33</v>
      </c>
      <c r="K49" s="45" t="s">
        <v>332</v>
      </c>
    </row>
    <row r="50" spans="1:11" x14ac:dyDescent="0.25">
      <c r="A50" s="19">
        <f t="shared" si="1"/>
        <v>49</v>
      </c>
      <c r="B50" s="58" t="s">
        <v>464</v>
      </c>
      <c r="C50" s="45" t="s">
        <v>374</v>
      </c>
      <c r="D50" s="45" t="s">
        <v>462</v>
      </c>
      <c r="E50" s="45" t="s">
        <v>292</v>
      </c>
      <c r="F50" s="46" t="s">
        <v>16</v>
      </c>
      <c r="G50" s="46">
        <v>3</v>
      </c>
      <c r="H50" s="79">
        <v>45872</v>
      </c>
      <c r="I50" s="45" t="s">
        <v>20</v>
      </c>
      <c r="J50" s="45" t="s">
        <v>33</v>
      </c>
      <c r="K50" s="45" t="s">
        <v>332</v>
      </c>
    </row>
    <row r="51" spans="1:11" x14ac:dyDescent="0.25">
      <c r="A51" s="19">
        <f t="shared" si="1"/>
        <v>50</v>
      </c>
      <c r="B51" s="58" t="s">
        <v>464</v>
      </c>
      <c r="C51" s="45" t="s">
        <v>374</v>
      </c>
      <c r="D51" s="45" t="s">
        <v>463</v>
      </c>
      <c r="E51" s="45" t="s">
        <v>292</v>
      </c>
      <c r="F51" s="46" t="s">
        <v>16</v>
      </c>
      <c r="G51" s="46">
        <v>3</v>
      </c>
      <c r="H51" s="79">
        <v>45872</v>
      </c>
      <c r="I51" s="45" t="s">
        <v>20</v>
      </c>
      <c r="J51" s="45" t="s">
        <v>33</v>
      </c>
      <c r="K51" s="45" t="s">
        <v>332</v>
      </c>
    </row>
    <row r="52" spans="1:11" x14ac:dyDescent="0.25">
      <c r="A52" s="19">
        <f t="shared" si="1"/>
        <v>51</v>
      </c>
      <c r="B52" s="58" t="s">
        <v>483</v>
      </c>
      <c r="C52" s="45" t="s">
        <v>472</v>
      </c>
      <c r="D52" s="45" t="s">
        <v>542</v>
      </c>
      <c r="E52" s="45" t="s">
        <v>23</v>
      </c>
      <c r="F52" s="46" t="s">
        <v>12</v>
      </c>
      <c r="G52" s="46">
        <v>0</v>
      </c>
      <c r="H52" s="81">
        <v>45872</v>
      </c>
      <c r="I52" s="45" t="s">
        <v>24</v>
      </c>
      <c r="J52" s="45" t="s">
        <v>33</v>
      </c>
      <c r="K52" s="95" t="s">
        <v>543</v>
      </c>
    </row>
    <row r="53" spans="1:11" x14ac:dyDescent="0.25">
      <c r="A53" s="19">
        <f t="shared" si="1"/>
        <v>52</v>
      </c>
      <c r="B53" s="58" t="s">
        <v>483</v>
      </c>
      <c r="C53" s="45" t="s">
        <v>472</v>
      </c>
      <c r="D53" s="45" t="s">
        <v>478</v>
      </c>
      <c r="E53" s="45" t="s">
        <v>154</v>
      </c>
      <c r="F53" s="46" t="s">
        <v>12</v>
      </c>
      <c r="G53" s="46">
        <v>1</v>
      </c>
      <c r="H53" s="79">
        <v>45872</v>
      </c>
      <c r="I53" s="45" t="s">
        <v>24</v>
      </c>
      <c r="J53" s="45" t="s">
        <v>33</v>
      </c>
      <c r="K53" s="45" t="s">
        <v>332</v>
      </c>
    </row>
    <row r="54" spans="1:11" x14ac:dyDescent="0.25">
      <c r="A54" s="19">
        <f t="shared" si="1"/>
        <v>53</v>
      </c>
      <c r="B54" s="59"/>
      <c r="D54" s="45" t="s">
        <v>580</v>
      </c>
      <c r="E54" s="45" t="s">
        <v>581</v>
      </c>
      <c r="F54" s="46" t="s">
        <v>16</v>
      </c>
      <c r="G54" s="46">
        <v>2</v>
      </c>
      <c r="H54" s="79">
        <v>45872</v>
      </c>
      <c r="I54" s="45" t="s">
        <v>24</v>
      </c>
      <c r="J54" s="45" t="s">
        <v>109</v>
      </c>
    </row>
    <row r="55" spans="1:11" x14ac:dyDescent="0.25">
      <c r="A55" s="19">
        <f t="shared" si="1"/>
        <v>54</v>
      </c>
      <c r="B55" s="59"/>
      <c r="D55" s="45" t="s">
        <v>579</v>
      </c>
      <c r="E55" s="45" t="s">
        <v>581</v>
      </c>
      <c r="F55" s="46" t="s">
        <v>16</v>
      </c>
      <c r="G55" s="46">
        <v>2</v>
      </c>
      <c r="H55" s="79">
        <v>45872</v>
      </c>
      <c r="I55" s="45" t="s">
        <v>24</v>
      </c>
      <c r="J55" s="45" t="s">
        <v>109</v>
      </c>
    </row>
    <row r="56" spans="1:11" x14ac:dyDescent="0.25">
      <c r="A56" s="19">
        <f t="shared" si="1"/>
        <v>55</v>
      </c>
      <c r="B56" s="59"/>
      <c r="D56" s="45" t="s">
        <v>582</v>
      </c>
      <c r="E56" s="45" t="s">
        <v>569</v>
      </c>
      <c r="F56" s="46" t="s">
        <v>16</v>
      </c>
      <c r="G56" s="46">
        <v>1</v>
      </c>
      <c r="H56" s="79">
        <v>45872</v>
      </c>
      <c r="I56" s="45" t="s">
        <v>20</v>
      </c>
      <c r="J56" s="45" t="s">
        <v>31</v>
      </c>
      <c r="K56" s="45" t="s">
        <v>583</v>
      </c>
    </row>
    <row r="57" spans="1:11" x14ac:dyDescent="0.25">
      <c r="A57" s="19">
        <f t="shared" si="1"/>
        <v>56</v>
      </c>
      <c r="B57" s="58" t="s">
        <v>11</v>
      </c>
      <c r="C57" s="45" t="s">
        <v>107</v>
      </c>
      <c r="D57" s="45" t="s">
        <v>354</v>
      </c>
      <c r="E57" s="45" t="s">
        <v>335</v>
      </c>
      <c r="F57" s="46" t="s">
        <v>12</v>
      </c>
      <c r="G57" s="46">
        <v>0</v>
      </c>
      <c r="H57" s="81">
        <v>45873</v>
      </c>
      <c r="I57" s="45" t="s">
        <v>13</v>
      </c>
      <c r="J57" s="7" t="s">
        <v>33</v>
      </c>
      <c r="K57" s="45" t="s">
        <v>314</v>
      </c>
    </row>
    <row r="58" spans="1:11" x14ac:dyDescent="0.25">
      <c r="A58" s="19">
        <f t="shared" si="1"/>
        <v>57</v>
      </c>
      <c r="B58" s="58" t="s">
        <v>11</v>
      </c>
      <c r="C58" s="45" t="s">
        <v>107</v>
      </c>
      <c r="D58" s="45" t="s">
        <v>355</v>
      </c>
      <c r="E58" s="45" t="s">
        <v>356</v>
      </c>
      <c r="F58" s="46" t="s">
        <v>12</v>
      </c>
      <c r="G58" s="46">
        <v>0</v>
      </c>
      <c r="H58" s="81">
        <v>45873</v>
      </c>
      <c r="I58" s="45" t="s">
        <v>13</v>
      </c>
      <c r="J58" s="7" t="s">
        <v>33</v>
      </c>
      <c r="K58" s="45" t="s">
        <v>314</v>
      </c>
    </row>
    <row r="59" spans="1:11" x14ac:dyDescent="0.25">
      <c r="A59" s="19">
        <f t="shared" si="1"/>
        <v>58</v>
      </c>
      <c r="B59" s="58" t="s">
        <v>11</v>
      </c>
      <c r="C59" s="45" t="s">
        <v>107</v>
      </c>
      <c r="D59" s="45" t="s">
        <v>357</v>
      </c>
      <c r="E59" s="45" t="s">
        <v>358</v>
      </c>
      <c r="F59" s="46" t="s">
        <v>12</v>
      </c>
      <c r="G59" s="46">
        <v>0</v>
      </c>
      <c r="H59" s="81">
        <v>45873</v>
      </c>
      <c r="I59" s="45" t="s">
        <v>13</v>
      </c>
      <c r="J59" s="7" t="s">
        <v>33</v>
      </c>
      <c r="K59" s="45" t="s">
        <v>314</v>
      </c>
    </row>
    <row r="60" spans="1:11" x14ac:dyDescent="0.25">
      <c r="A60" s="19">
        <f t="shared" si="1"/>
        <v>59</v>
      </c>
      <c r="B60" s="58" t="s">
        <v>11</v>
      </c>
      <c r="C60" s="45" t="s">
        <v>107</v>
      </c>
      <c r="D60" s="45" t="s">
        <v>359</v>
      </c>
      <c r="E60" s="45" t="s">
        <v>358</v>
      </c>
      <c r="F60" s="46" t="s">
        <v>12</v>
      </c>
      <c r="G60" s="46">
        <v>1</v>
      </c>
      <c r="H60" s="79">
        <v>45873</v>
      </c>
      <c r="I60" s="45" t="s">
        <v>13</v>
      </c>
      <c r="J60" s="7" t="s">
        <v>33</v>
      </c>
      <c r="K60" s="45" t="s">
        <v>314</v>
      </c>
    </row>
    <row r="61" spans="1:11" x14ac:dyDescent="0.25">
      <c r="A61" s="19">
        <f t="shared" si="1"/>
        <v>60</v>
      </c>
      <c r="B61" s="58" t="s">
        <v>11</v>
      </c>
      <c r="C61" s="45" t="s">
        <v>107</v>
      </c>
      <c r="D61" s="45" t="s">
        <v>360</v>
      </c>
      <c r="E61" s="45" t="s">
        <v>358</v>
      </c>
      <c r="F61" s="46" t="s">
        <v>12</v>
      </c>
      <c r="G61" s="46">
        <v>0</v>
      </c>
      <c r="H61" s="81">
        <v>45873</v>
      </c>
      <c r="I61" s="45" t="s">
        <v>13</v>
      </c>
      <c r="J61" s="7" t="s">
        <v>33</v>
      </c>
      <c r="K61" s="45" t="s">
        <v>314</v>
      </c>
    </row>
    <row r="62" spans="1:11" x14ac:dyDescent="0.25">
      <c r="A62" s="19">
        <f t="shared" si="1"/>
        <v>61</v>
      </c>
      <c r="B62" s="58" t="s">
        <v>11</v>
      </c>
      <c r="C62" s="45" t="s">
        <v>107</v>
      </c>
      <c r="D62" s="45" t="s">
        <v>361</v>
      </c>
      <c r="E62" s="45" t="s">
        <v>356</v>
      </c>
      <c r="F62" s="46" t="s">
        <v>12</v>
      </c>
      <c r="G62" s="46">
        <v>0</v>
      </c>
      <c r="H62" s="81">
        <v>45873</v>
      </c>
      <c r="I62" s="45" t="s">
        <v>13</v>
      </c>
      <c r="J62" s="7" t="s">
        <v>33</v>
      </c>
      <c r="K62" s="45" t="s">
        <v>314</v>
      </c>
    </row>
    <row r="63" spans="1:11" x14ac:dyDescent="0.25">
      <c r="A63" s="19">
        <f t="shared" si="1"/>
        <v>62</v>
      </c>
      <c r="B63" s="58" t="s">
        <v>11</v>
      </c>
      <c r="C63" s="45" t="s">
        <v>107</v>
      </c>
      <c r="D63" s="45" t="s">
        <v>362</v>
      </c>
      <c r="E63" s="45" t="s">
        <v>358</v>
      </c>
      <c r="F63" s="46" t="s">
        <v>12</v>
      </c>
      <c r="G63" s="46">
        <v>0</v>
      </c>
      <c r="H63" s="81">
        <v>45873</v>
      </c>
      <c r="I63" s="45" t="s">
        <v>13</v>
      </c>
      <c r="J63" s="7" t="s">
        <v>33</v>
      </c>
      <c r="K63" s="45" t="s">
        <v>314</v>
      </c>
    </row>
    <row r="64" spans="1:11" x14ac:dyDescent="0.25">
      <c r="A64" s="19">
        <f t="shared" si="1"/>
        <v>63</v>
      </c>
      <c r="B64" s="58" t="s">
        <v>122</v>
      </c>
      <c r="C64" s="45" t="s">
        <v>152</v>
      </c>
      <c r="D64" s="55" t="s">
        <v>123</v>
      </c>
      <c r="E64" s="55" t="s">
        <v>121</v>
      </c>
      <c r="F64" s="46" t="s">
        <v>16</v>
      </c>
      <c r="G64" s="46">
        <v>1</v>
      </c>
      <c r="H64" s="79">
        <v>45873</v>
      </c>
      <c r="I64" s="45" t="s">
        <v>17</v>
      </c>
      <c r="J64" s="7" t="s">
        <v>33</v>
      </c>
      <c r="K64" s="55"/>
    </row>
    <row r="65" spans="1:11" x14ac:dyDescent="0.25">
      <c r="A65" s="19">
        <f t="shared" si="1"/>
        <v>64</v>
      </c>
      <c r="B65" s="58" t="s">
        <v>372</v>
      </c>
      <c r="C65" s="45" t="s">
        <v>371</v>
      </c>
      <c r="D65" s="45" t="s">
        <v>369</v>
      </c>
      <c r="E65" s="45" t="s">
        <v>370</v>
      </c>
      <c r="F65" s="46" t="s">
        <v>12</v>
      </c>
      <c r="G65" s="46">
        <v>1</v>
      </c>
      <c r="H65" s="79">
        <v>45873</v>
      </c>
      <c r="I65" s="45" t="s">
        <v>13</v>
      </c>
      <c r="J65" s="45" t="s">
        <v>33</v>
      </c>
      <c r="K65" s="45" t="s">
        <v>332</v>
      </c>
    </row>
    <row r="66" spans="1:11" x14ac:dyDescent="0.25">
      <c r="A66" s="19">
        <f t="shared" ref="A66:A97" si="2">ROW()-1</f>
        <v>65</v>
      </c>
      <c r="B66" s="58" t="s">
        <v>333</v>
      </c>
      <c r="C66" s="45" t="s">
        <v>374</v>
      </c>
      <c r="D66" s="45" t="s">
        <v>376</v>
      </c>
      <c r="E66" s="45" t="s">
        <v>377</v>
      </c>
      <c r="F66" s="46" t="s">
        <v>153</v>
      </c>
      <c r="G66" s="46">
        <v>1</v>
      </c>
      <c r="H66" s="79">
        <v>45873</v>
      </c>
      <c r="I66" s="45" t="s">
        <v>13</v>
      </c>
      <c r="J66" s="45" t="s">
        <v>33</v>
      </c>
      <c r="K66" s="45" t="s">
        <v>332</v>
      </c>
    </row>
    <row r="67" spans="1:11" x14ac:dyDescent="0.25">
      <c r="A67" s="19">
        <f t="shared" si="2"/>
        <v>66</v>
      </c>
      <c r="B67" s="58" t="s">
        <v>333</v>
      </c>
      <c r="C67" s="45" t="s">
        <v>374</v>
      </c>
      <c r="D67" s="45" t="s">
        <v>378</v>
      </c>
      <c r="E67" s="45" t="s">
        <v>377</v>
      </c>
      <c r="F67" s="46" t="s">
        <v>153</v>
      </c>
      <c r="G67" s="46">
        <v>1</v>
      </c>
      <c r="H67" s="79">
        <v>45873</v>
      </c>
      <c r="I67" s="45" t="s">
        <v>13</v>
      </c>
      <c r="J67" s="45" t="s">
        <v>33</v>
      </c>
      <c r="K67" s="45" t="s">
        <v>332</v>
      </c>
    </row>
    <row r="68" spans="1:11" x14ac:dyDescent="0.25">
      <c r="A68" s="19">
        <f t="shared" si="2"/>
        <v>67</v>
      </c>
      <c r="B68" s="58" t="s">
        <v>333</v>
      </c>
      <c r="C68" s="45" t="s">
        <v>374</v>
      </c>
      <c r="D68" s="45" t="s">
        <v>379</v>
      </c>
      <c r="E68" s="45" t="s">
        <v>377</v>
      </c>
      <c r="F68" s="46" t="s">
        <v>153</v>
      </c>
      <c r="G68" s="46">
        <v>1</v>
      </c>
      <c r="H68" s="79">
        <v>45873</v>
      </c>
      <c r="I68" s="45" t="s">
        <v>13</v>
      </c>
      <c r="J68" s="45" t="s">
        <v>33</v>
      </c>
      <c r="K68" s="45" t="s">
        <v>332</v>
      </c>
    </row>
    <row r="69" spans="1:11" x14ac:dyDescent="0.25">
      <c r="A69" s="19">
        <f t="shared" si="2"/>
        <v>68</v>
      </c>
      <c r="B69" s="58" t="s">
        <v>333</v>
      </c>
      <c r="C69" s="45" t="s">
        <v>374</v>
      </c>
      <c r="D69" s="45" t="s">
        <v>380</v>
      </c>
      <c r="E69" s="45" t="s">
        <v>377</v>
      </c>
      <c r="F69" s="46" t="s">
        <v>153</v>
      </c>
      <c r="G69" s="46">
        <v>1</v>
      </c>
      <c r="H69" s="79">
        <v>45873</v>
      </c>
      <c r="I69" s="45" t="s">
        <v>13</v>
      </c>
      <c r="J69" s="45" t="s">
        <v>33</v>
      </c>
      <c r="K69" s="45" t="s">
        <v>332</v>
      </c>
    </row>
    <row r="70" spans="1:11" x14ac:dyDescent="0.25">
      <c r="A70" s="19">
        <f t="shared" si="2"/>
        <v>69</v>
      </c>
      <c r="B70" s="58" t="s">
        <v>333</v>
      </c>
      <c r="C70" s="45" t="s">
        <v>374</v>
      </c>
      <c r="D70" s="45" t="s">
        <v>385</v>
      </c>
      <c r="E70" s="45" t="s">
        <v>382</v>
      </c>
      <c r="F70" s="46" t="s">
        <v>12</v>
      </c>
      <c r="G70" s="46">
        <v>0</v>
      </c>
      <c r="H70" s="81">
        <v>45873</v>
      </c>
      <c r="I70" s="45" t="s">
        <v>13</v>
      </c>
      <c r="J70" s="45" t="s">
        <v>33</v>
      </c>
      <c r="K70" s="45" t="s">
        <v>332</v>
      </c>
    </row>
    <row r="71" spans="1:11" x14ac:dyDescent="0.25">
      <c r="A71" s="19">
        <f t="shared" si="2"/>
        <v>70</v>
      </c>
      <c r="B71" s="58" t="s">
        <v>333</v>
      </c>
      <c r="C71" s="45" t="s">
        <v>374</v>
      </c>
      <c r="D71" s="45" t="s">
        <v>386</v>
      </c>
      <c r="E71" s="45" t="s">
        <v>382</v>
      </c>
      <c r="F71" s="46" t="s">
        <v>12</v>
      </c>
      <c r="G71" s="46">
        <v>0</v>
      </c>
      <c r="H71" s="81">
        <v>45873</v>
      </c>
      <c r="I71" s="45" t="s">
        <v>13</v>
      </c>
      <c r="J71" s="45" t="s">
        <v>33</v>
      </c>
      <c r="K71" s="45" t="s">
        <v>332</v>
      </c>
    </row>
    <row r="72" spans="1:11" x14ac:dyDescent="0.25">
      <c r="A72" s="19">
        <f t="shared" si="2"/>
        <v>71</v>
      </c>
      <c r="B72" s="59"/>
      <c r="D72" s="45" t="s">
        <v>584</v>
      </c>
      <c r="E72" s="45" t="s">
        <v>585</v>
      </c>
      <c r="F72" s="46" t="s">
        <v>19</v>
      </c>
      <c r="G72" s="46">
        <v>1</v>
      </c>
      <c r="H72" s="79">
        <v>45873</v>
      </c>
      <c r="I72" s="45" t="s">
        <v>13</v>
      </c>
      <c r="J72" s="45" t="s">
        <v>33</v>
      </c>
      <c r="K72" s="45" t="s">
        <v>586</v>
      </c>
    </row>
    <row r="73" spans="1:11" x14ac:dyDescent="0.25">
      <c r="A73" s="19">
        <f t="shared" si="2"/>
        <v>72</v>
      </c>
      <c r="B73" s="59"/>
      <c r="D73" s="96" t="s">
        <v>590</v>
      </c>
      <c r="E73" s="45" t="s">
        <v>292</v>
      </c>
      <c r="F73" s="46" t="s">
        <v>16</v>
      </c>
      <c r="G73" s="46">
        <v>2</v>
      </c>
      <c r="H73" s="79">
        <v>45873</v>
      </c>
      <c r="I73" s="45" t="s">
        <v>13</v>
      </c>
      <c r="J73" s="45" t="s">
        <v>31</v>
      </c>
      <c r="K73" s="45" t="s">
        <v>591</v>
      </c>
    </row>
    <row r="74" spans="1:11" x14ac:dyDescent="0.25">
      <c r="A74" s="19">
        <f t="shared" si="2"/>
        <v>73</v>
      </c>
      <c r="B74" s="59"/>
      <c r="D74" s="45" t="s">
        <v>594</v>
      </c>
      <c r="E74" s="45" t="s">
        <v>292</v>
      </c>
      <c r="F74" s="46" t="s">
        <v>19</v>
      </c>
      <c r="G74" s="46">
        <v>3</v>
      </c>
      <c r="H74" s="79">
        <v>45873</v>
      </c>
      <c r="I74" s="45" t="s">
        <v>24</v>
      </c>
      <c r="J74" s="45" t="s">
        <v>109</v>
      </c>
    </row>
    <row r="75" spans="1:11" x14ac:dyDescent="0.25">
      <c r="A75" s="19">
        <f t="shared" si="2"/>
        <v>74</v>
      </c>
      <c r="B75" s="59"/>
      <c r="D75" s="45" t="s">
        <v>595</v>
      </c>
      <c r="E75" s="45" t="s">
        <v>292</v>
      </c>
      <c r="F75" s="46" t="s">
        <v>19</v>
      </c>
      <c r="G75" s="46">
        <v>3</v>
      </c>
      <c r="H75" s="79">
        <v>45873</v>
      </c>
      <c r="I75" s="45" t="s">
        <v>24</v>
      </c>
      <c r="J75" s="45" t="s">
        <v>109</v>
      </c>
    </row>
    <row r="76" spans="1:11" x14ac:dyDescent="0.25">
      <c r="A76" s="19">
        <f t="shared" si="2"/>
        <v>75</v>
      </c>
      <c r="B76" s="58" t="s">
        <v>34</v>
      </c>
      <c r="C76" s="45" t="s">
        <v>107</v>
      </c>
      <c r="D76" s="55" t="s">
        <v>315</v>
      </c>
      <c r="E76" s="55" t="s">
        <v>23</v>
      </c>
      <c r="F76" s="46" t="s">
        <v>19</v>
      </c>
      <c r="G76" s="46">
        <v>4</v>
      </c>
      <c r="H76" s="79">
        <v>45874</v>
      </c>
      <c r="I76" s="45" t="s">
        <v>24</v>
      </c>
      <c r="J76" s="7" t="s">
        <v>33</v>
      </c>
      <c r="K76" s="45" t="s">
        <v>312</v>
      </c>
    </row>
    <row r="77" spans="1:11" x14ac:dyDescent="0.25">
      <c r="A77" s="19">
        <f t="shared" si="2"/>
        <v>76</v>
      </c>
      <c r="B77" s="58" t="s">
        <v>483</v>
      </c>
      <c r="C77" s="45" t="s">
        <v>472</v>
      </c>
      <c r="D77" s="45" t="s">
        <v>474</v>
      </c>
      <c r="E77" s="45" t="s">
        <v>154</v>
      </c>
      <c r="F77" s="46" t="s">
        <v>612</v>
      </c>
      <c r="G77" s="46">
        <v>0</v>
      </c>
      <c r="H77" s="81">
        <v>45874</v>
      </c>
      <c r="I77" s="45" t="s">
        <v>17</v>
      </c>
      <c r="J77" s="45" t="s">
        <v>33</v>
      </c>
      <c r="K77" s="45" t="s">
        <v>332</v>
      </c>
    </row>
    <row r="78" spans="1:11" x14ac:dyDescent="0.25">
      <c r="A78" s="19">
        <f t="shared" si="2"/>
        <v>77</v>
      </c>
      <c r="B78" s="59"/>
      <c r="D78" s="45" t="s">
        <v>485</v>
      </c>
      <c r="E78" s="45" t="s">
        <v>27</v>
      </c>
      <c r="F78" s="46" t="s">
        <v>19</v>
      </c>
      <c r="G78" s="46">
        <v>1</v>
      </c>
      <c r="H78" s="79">
        <v>45874</v>
      </c>
      <c r="I78" s="45" t="s">
        <v>17</v>
      </c>
      <c r="J78" s="45" t="s">
        <v>555</v>
      </c>
      <c r="K78" s="45" t="s">
        <v>596</v>
      </c>
    </row>
    <row r="79" spans="1:11" x14ac:dyDescent="0.25">
      <c r="A79" s="19">
        <f t="shared" si="2"/>
        <v>78</v>
      </c>
      <c r="B79" s="59"/>
      <c r="D79" s="45" t="s">
        <v>597</v>
      </c>
      <c r="E79" s="45" t="s">
        <v>335</v>
      </c>
      <c r="F79" s="46" t="s">
        <v>16</v>
      </c>
      <c r="G79" s="46">
        <v>1</v>
      </c>
      <c r="H79" s="79">
        <v>45874</v>
      </c>
      <c r="I79" s="45" t="s">
        <v>17</v>
      </c>
      <c r="J79" s="45" t="s">
        <v>31</v>
      </c>
      <c r="K79" s="45" t="s">
        <v>603</v>
      </c>
    </row>
    <row r="80" spans="1:11" x14ac:dyDescent="0.25">
      <c r="A80" s="19">
        <f t="shared" si="2"/>
        <v>79</v>
      </c>
      <c r="B80" s="59"/>
      <c r="D80" s="45" t="s">
        <v>598</v>
      </c>
      <c r="E80" s="45" t="s">
        <v>420</v>
      </c>
      <c r="F80" s="46" t="s">
        <v>16</v>
      </c>
      <c r="G80" s="46">
        <v>1</v>
      </c>
      <c r="H80" s="79">
        <v>45874</v>
      </c>
      <c r="I80" s="45" t="s">
        <v>17</v>
      </c>
      <c r="J80" s="45" t="s">
        <v>31</v>
      </c>
      <c r="K80" s="45" t="s">
        <v>599</v>
      </c>
    </row>
    <row r="81" spans="1:11" x14ac:dyDescent="0.25">
      <c r="A81" s="19">
        <f t="shared" si="2"/>
        <v>80</v>
      </c>
      <c r="B81" s="59"/>
      <c r="D81" s="45" t="s">
        <v>600</v>
      </c>
      <c r="E81" s="45" t="s">
        <v>48</v>
      </c>
      <c r="F81" s="46" t="s">
        <v>601</v>
      </c>
      <c r="G81" s="46">
        <v>2</v>
      </c>
      <c r="H81" s="79">
        <v>45874</v>
      </c>
      <c r="I81" s="45" t="s">
        <v>17</v>
      </c>
      <c r="J81" s="45" t="s">
        <v>31</v>
      </c>
      <c r="K81" s="45" t="s">
        <v>602</v>
      </c>
    </row>
    <row r="82" spans="1:11" x14ac:dyDescent="0.25">
      <c r="A82" s="19">
        <f t="shared" si="2"/>
        <v>81</v>
      </c>
      <c r="B82" s="58" t="s">
        <v>611</v>
      </c>
      <c r="C82" s="45" t="s">
        <v>419</v>
      </c>
      <c r="D82" s="45" t="s">
        <v>604</v>
      </c>
      <c r="E82" s="45" t="s">
        <v>605</v>
      </c>
      <c r="F82" s="46" t="s">
        <v>19</v>
      </c>
      <c r="G82" s="46">
        <v>1</v>
      </c>
      <c r="H82" s="79">
        <v>45874</v>
      </c>
      <c r="I82" s="45" t="s">
        <v>17</v>
      </c>
    </row>
    <row r="83" spans="1:11" x14ac:dyDescent="0.25">
      <c r="A83" s="19">
        <f t="shared" si="2"/>
        <v>82</v>
      </c>
      <c r="B83" s="58" t="s">
        <v>611</v>
      </c>
      <c r="C83" s="45" t="s">
        <v>419</v>
      </c>
      <c r="D83" s="45" t="s">
        <v>606</v>
      </c>
      <c r="E83" s="45" t="s">
        <v>607</v>
      </c>
      <c r="F83" s="46" t="s">
        <v>19</v>
      </c>
      <c r="G83" s="46">
        <v>1</v>
      </c>
      <c r="H83" s="79">
        <v>45874</v>
      </c>
      <c r="I83" s="45" t="s">
        <v>17</v>
      </c>
    </row>
    <row r="84" spans="1:11" x14ac:dyDescent="0.25">
      <c r="A84" s="19">
        <f t="shared" si="2"/>
        <v>83</v>
      </c>
      <c r="B84" s="58" t="s">
        <v>611</v>
      </c>
      <c r="C84" s="45" t="s">
        <v>419</v>
      </c>
      <c r="D84" s="45" t="s">
        <v>610</v>
      </c>
      <c r="E84" s="45" t="s">
        <v>420</v>
      </c>
      <c r="F84" s="46" t="s">
        <v>19</v>
      </c>
      <c r="G84" s="46">
        <v>4</v>
      </c>
      <c r="H84" s="79">
        <v>45874</v>
      </c>
      <c r="I84" s="45" t="s">
        <v>17</v>
      </c>
    </row>
    <row r="85" spans="1:11" x14ac:dyDescent="0.25">
      <c r="A85" s="19">
        <f t="shared" si="2"/>
        <v>84</v>
      </c>
      <c r="B85" s="58"/>
      <c r="D85" s="101" t="s">
        <v>615</v>
      </c>
      <c r="E85" s="101" t="s">
        <v>110</v>
      </c>
      <c r="F85" s="46" t="s">
        <v>19</v>
      </c>
      <c r="G85" s="46">
        <v>1</v>
      </c>
      <c r="H85" s="79">
        <v>45874</v>
      </c>
      <c r="I85" s="45" t="s">
        <v>24</v>
      </c>
      <c r="J85" s="45" t="s">
        <v>109</v>
      </c>
    </row>
    <row r="86" spans="1:11" x14ac:dyDescent="0.25">
      <c r="A86" s="19">
        <f t="shared" si="2"/>
        <v>85</v>
      </c>
      <c r="B86" s="58"/>
      <c r="D86" s="101" t="s">
        <v>688</v>
      </c>
      <c r="E86" s="101" t="s">
        <v>110</v>
      </c>
      <c r="F86" s="46" t="s">
        <v>19</v>
      </c>
      <c r="G86" s="46">
        <v>1</v>
      </c>
      <c r="H86" s="79">
        <v>45874</v>
      </c>
      <c r="I86" s="45" t="s">
        <v>24</v>
      </c>
      <c r="J86" s="45" t="s">
        <v>109</v>
      </c>
    </row>
    <row r="87" spans="1:11" x14ac:dyDescent="0.25">
      <c r="A87" s="19">
        <f t="shared" si="2"/>
        <v>86</v>
      </c>
      <c r="B87" s="58"/>
      <c r="D87" s="101" t="s">
        <v>616</v>
      </c>
      <c r="E87" s="101" t="s">
        <v>110</v>
      </c>
      <c r="F87" s="46" t="s">
        <v>19</v>
      </c>
      <c r="G87" s="46">
        <v>1</v>
      </c>
      <c r="H87" s="79">
        <v>45874</v>
      </c>
      <c r="I87" s="45" t="s">
        <v>24</v>
      </c>
      <c r="J87" s="45" t="s">
        <v>109</v>
      </c>
    </row>
    <row r="88" spans="1:11" x14ac:dyDescent="0.25">
      <c r="A88" s="19">
        <f t="shared" si="2"/>
        <v>87</v>
      </c>
      <c r="B88" s="58"/>
      <c r="D88" s="101" t="s">
        <v>617</v>
      </c>
      <c r="E88" s="101" t="s">
        <v>110</v>
      </c>
      <c r="F88" s="46" t="s">
        <v>19</v>
      </c>
      <c r="G88" s="46">
        <v>1</v>
      </c>
      <c r="H88" s="79">
        <v>45874</v>
      </c>
      <c r="I88" s="45" t="s">
        <v>24</v>
      </c>
      <c r="J88" s="45" t="s">
        <v>109</v>
      </c>
    </row>
    <row r="89" spans="1:11" x14ac:dyDescent="0.25">
      <c r="A89" s="19">
        <f t="shared" si="2"/>
        <v>88</v>
      </c>
      <c r="B89" s="59"/>
      <c r="D89" s="101" t="s">
        <v>618</v>
      </c>
      <c r="E89" s="101" t="s">
        <v>110</v>
      </c>
      <c r="F89" s="46" t="s">
        <v>19</v>
      </c>
      <c r="G89" s="46">
        <v>1</v>
      </c>
      <c r="H89" s="79">
        <v>45874</v>
      </c>
      <c r="I89" s="45" t="s">
        <v>24</v>
      </c>
      <c r="J89" s="45" t="s">
        <v>109</v>
      </c>
    </row>
    <row r="90" spans="1:11" x14ac:dyDescent="0.25">
      <c r="A90" s="19">
        <f t="shared" si="2"/>
        <v>89</v>
      </c>
      <c r="B90" s="58" t="s">
        <v>375</v>
      </c>
      <c r="C90" s="45" t="s">
        <v>374</v>
      </c>
      <c r="D90" s="45" t="s">
        <v>373</v>
      </c>
      <c r="E90" s="45" t="s">
        <v>18</v>
      </c>
      <c r="F90" s="46" t="s">
        <v>19</v>
      </c>
      <c r="G90" s="46">
        <v>1</v>
      </c>
      <c r="H90" s="79">
        <v>45875</v>
      </c>
      <c r="I90" s="45" t="s">
        <v>17</v>
      </c>
      <c r="J90" s="45" t="s">
        <v>33</v>
      </c>
      <c r="K90" s="55"/>
    </row>
    <row r="91" spans="1:11" x14ac:dyDescent="0.25">
      <c r="A91" s="19">
        <f t="shared" si="2"/>
        <v>90</v>
      </c>
      <c r="B91" s="59"/>
      <c r="D91" s="100" t="s">
        <v>687</v>
      </c>
      <c r="E91" s="45" t="s">
        <v>619</v>
      </c>
      <c r="F91" s="46" t="s">
        <v>16</v>
      </c>
      <c r="G91" s="46">
        <v>4</v>
      </c>
      <c r="H91" s="79">
        <v>45875</v>
      </c>
      <c r="I91" s="45" t="s">
        <v>17</v>
      </c>
      <c r="J91" s="45" t="s">
        <v>109</v>
      </c>
    </row>
    <row r="92" spans="1:11" x14ac:dyDescent="0.25">
      <c r="A92" s="19">
        <f t="shared" si="2"/>
        <v>91</v>
      </c>
      <c r="B92" s="59"/>
      <c r="D92" s="100" t="s">
        <v>621</v>
      </c>
      <c r="E92" s="45" t="s">
        <v>619</v>
      </c>
      <c r="F92" s="46" t="s">
        <v>16</v>
      </c>
      <c r="G92" s="46">
        <v>2</v>
      </c>
      <c r="H92" s="79">
        <v>45875</v>
      </c>
      <c r="I92" s="45" t="s">
        <v>17</v>
      </c>
      <c r="J92" s="45" t="s">
        <v>109</v>
      </c>
      <c r="K92" s="104" t="s">
        <v>692</v>
      </c>
    </row>
    <row r="93" spans="1:11" x14ac:dyDescent="0.25">
      <c r="A93" s="19">
        <f t="shared" si="2"/>
        <v>92</v>
      </c>
      <c r="B93" s="59"/>
      <c r="D93" s="45" t="s">
        <v>622</v>
      </c>
      <c r="E93" s="45" t="s">
        <v>121</v>
      </c>
      <c r="F93" s="46" t="s">
        <v>16</v>
      </c>
      <c r="G93" s="46">
        <v>1</v>
      </c>
      <c r="H93" s="79">
        <v>45875</v>
      </c>
      <c r="I93" s="45" t="s">
        <v>13</v>
      </c>
      <c r="J93" s="45" t="s">
        <v>31</v>
      </c>
      <c r="K93" s="45" t="s">
        <v>623</v>
      </c>
    </row>
    <row r="94" spans="1:11" x14ac:dyDescent="0.25">
      <c r="A94" s="19">
        <f t="shared" si="2"/>
        <v>93</v>
      </c>
      <c r="B94" s="59"/>
      <c r="D94" s="45" t="s">
        <v>600</v>
      </c>
      <c r="E94" s="45" t="s">
        <v>48</v>
      </c>
      <c r="F94" s="46" t="s">
        <v>601</v>
      </c>
      <c r="G94" s="46">
        <v>3</v>
      </c>
      <c r="H94" s="79">
        <v>45875</v>
      </c>
      <c r="I94" s="45" t="s">
        <v>13</v>
      </c>
      <c r="J94" s="45" t="s">
        <v>31</v>
      </c>
      <c r="K94" s="45" t="s">
        <v>628</v>
      </c>
    </row>
    <row r="95" spans="1:11" x14ac:dyDescent="0.25">
      <c r="A95" s="19">
        <f t="shared" si="2"/>
        <v>94</v>
      </c>
      <c r="B95" s="59"/>
      <c r="D95" s="45" t="s">
        <v>485</v>
      </c>
      <c r="E95" s="45" t="s">
        <v>27</v>
      </c>
      <c r="F95" s="46" t="s">
        <v>16</v>
      </c>
      <c r="G95" s="46">
        <v>5</v>
      </c>
      <c r="H95" s="79">
        <v>45875</v>
      </c>
      <c r="I95" s="45" t="s">
        <v>13</v>
      </c>
      <c r="J95" s="45" t="s">
        <v>31</v>
      </c>
      <c r="K95" s="45" t="s">
        <v>624</v>
      </c>
    </row>
    <row r="96" spans="1:11" x14ac:dyDescent="0.25">
      <c r="A96" s="19">
        <f t="shared" si="2"/>
        <v>95</v>
      </c>
      <c r="B96" s="59"/>
      <c r="D96" s="45" t="s">
        <v>625</v>
      </c>
      <c r="E96" s="45" t="s">
        <v>154</v>
      </c>
      <c r="F96" s="46" t="s">
        <v>16</v>
      </c>
      <c r="G96" s="46">
        <v>1</v>
      </c>
      <c r="H96" s="79">
        <v>45875</v>
      </c>
      <c r="I96" s="45" t="s">
        <v>17</v>
      </c>
      <c r="J96" s="45" t="s">
        <v>620</v>
      </c>
    </row>
    <row r="97" spans="1:11" x14ac:dyDescent="0.25">
      <c r="A97" s="19">
        <f t="shared" si="2"/>
        <v>96</v>
      </c>
      <c r="B97" s="59"/>
      <c r="D97" s="45" t="s">
        <v>626</v>
      </c>
      <c r="E97" s="45" t="s">
        <v>154</v>
      </c>
      <c r="F97" s="46" t="s">
        <v>16</v>
      </c>
      <c r="G97" s="46">
        <v>1</v>
      </c>
      <c r="H97" s="79">
        <v>45875</v>
      </c>
      <c r="I97" s="45" t="s">
        <v>17</v>
      </c>
      <c r="J97" s="45" t="s">
        <v>620</v>
      </c>
    </row>
    <row r="98" spans="1:11" x14ac:dyDescent="0.25">
      <c r="A98" s="19">
        <f t="shared" ref="A98:A129" si="3">ROW()-1</f>
        <v>97</v>
      </c>
      <c r="B98" s="59"/>
      <c r="D98" s="45" t="s">
        <v>636</v>
      </c>
      <c r="E98" s="45" t="s">
        <v>21</v>
      </c>
      <c r="F98" s="46" t="s">
        <v>16</v>
      </c>
      <c r="G98" s="46">
        <v>2</v>
      </c>
      <c r="H98" s="79">
        <v>45876</v>
      </c>
      <c r="I98" s="45" t="s">
        <v>13</v>
      </c>
      <c r="J98" s="45" t="s">
        <v>31</v>
      </c>
      <c r="K98" s="45" t="s">
        <v>638</v>
      </c>
    </row>
    <row r="99" spans="1:11" x14ac:dyDescent="0.25">
      <c r="A99" s="19">
        <f t="shared" si="3"/>
        <v>98</v>
      </c>
      <c r="B99" s="59"/>
      <c r="D99" s="45" t="s">
        <v>637</v>
      </c>
      <c r="E99" s="45" t="s">
        <v>420</v>
      </c>
      <c r="F99" s="46" t="s">
        <v>108</v>
      </c>
      <c r="G99" s="46">
        <v>1</v>
      </c>
      <c r="H99" s="79">
        <v>45876</v>
      </c>
      <c r="I99" s="45" t="s">
        <v>13</v>
      </c>
      <c r="J99" s="45" t="s">
        <v>31</v>
      </c>
      <c r="K99" s="45" t="s">
        <v>537</v>
      </c>
    </row>
    <row r="100" spans="1:11" x14ac:dyDescent="0.25">
      <c r="A100" s="19">
        <f t="shared" si="3"/>
        <v>99</v>
      </c>
      <c r="B100" s="59"/>
      <c r="D100" s="45" t="s">
        <v>639</v>
      </c>
      <c r="E100" s="45" t="s">
        <v>640</v>
      </c>
      <c r="F100" s="46" t="s">
        <v>108</v>
      </c>
      <c r="G100" s="46">
        <v>2</v>
      </c>
      <c r="H100" s="79">
        <v>45876</v>
      </c>
      <c r="I100" s="45" t="s">
        <v>13</v>
      </c>
      <c r="J100" s="45" t="s">
        <v>31</v>
      </c>
      <c r="K100" s="45" t="s">
        <v>641</v>
      </c>
    </row>
    <row r="101" spans="1:11" x14ac:dyDescent="0.25">
      <c r="A101" s="19">
        <f t="shared" si="3"/>
        <v>100</v>
      </c>
      <c r="B101" s="59"/>
      <c r="D101" s="45" t="s">
        <v>645</v>
      </c>
      <c r="E101" s="45" t="s">
        <v>609</v>
      </c>
      <c r="F101" s="46" t="s">
        <v>19</v>
      </c>
      <c r="G101" s="46">
        <v>3</v>
      </c>
      <c r="H101" s="79">
        <v>45876</v>
      </c>
      <c r="I101" s="45" t="s">
        <v>20</v>
      </c>
      <c r="J101" s="45" t="s">
        <v>26</v>
      </c>
    </row>
    <row r="102" spans="1:11" x14ac:dyDescent="0.25">
      <c r="A102" s="19">
        <f t="shared" si="3"/>
        <v>101</v>
      </c>
      <c r="B102" s="59"/>
      <c r="D102" s="45" t="s">
        <v>646</v>
      </c>
      <c r="E102" s="45" t="s">
        <v>609</v>
      </c>
      <c r="F102" s="46" t="s">
        <v>19</v>
      </c>
      <c r="G102" s="46">
        <v>3</v>
      </c>
      <c r="H102" s="79">
        <v>45876</v>
      </c>
      <c r="I102" s="45" t="s">
        <v>20</v>
      </c>
      <c r="J102" s="45" t="s">
        <v>26</v>
      </c>
    </row>
    <row r="103" spans="1:11" x14ac:dyDescent="0.25">
      <c r="A103" s="19">
        <f t="shared" si="3"/>
        <v>102</v>
      </c>
      <c r="B103" s="59"/>
      <c r="D103" s="101" t="s">
        <v>647</v>
      </c>
      <c r="E103" s="45" t="s">
        <v>648</v>
      </c>
      <c r="F103" s="46" t="s">
        <v>16</v>
      </c>
      <c r="G103" s="46">
        <v>1</v>
      </c>
      <c r="H103" s="79">
        <v>45876</v>
      </c>
      <c r="I103" s="45" t="s">
        <v>20</v>
      </c>
      <c r="J103" s="45" t="s">
        <v>109</v>
      </c>
    </row>
    <row r="104" spans="1:11" x14ac:dyDescent="0.25">
      <c r="A104" s="19">
        <f t="shared" si="3"/>
        <v>103</v>
      </c>
      <c r="B104" s="59"/>
      <c r="D104" s="101" t="s">
        <v>649</v>
      </c>
      <c r="E104" s="45" t="s">
        <v>619</v>
      </c>
      <c r="F104" s="46" t="s">
        <v>16</v>
      </c>
      <c r="G104" s="46">
        <v>1</v>
      </c>
      <c r="H104" s="79">
        <v>45876</v>
      </c>
      <c r="I104" s="45" t="s">
        <v>20</v>
      </c>
      <c r="J104" s="45" t="s">
        <v>109</v>
      </c>
    </row>
    <row r="105" spans="1:11" x14ac:dyDescent="0.25">
      <c r="A105" s="19">
        <f t="shared" si="3"/>
        <v>104</v>
      </c>
      <c r="B105" s="59"/>
      <c r="D105" s="45" t="s">
        <v>653</v>
      </c>
      <c r="E105" s="45" t="s">
        <v>18</v>
      </c>
      <c r="F105" s="46" t="s">
        <v>16</v>
      </c>
      <c r="G105" s="46">
        <v>1</v>
      </c>
      <c r="H105" s="79">
        <v>45877</v>
      </c>
      <c r="I105" s="45" t="s">
        <v>20</v>
      </c>
      <c r="J105" s="45" t="s">
        <v>33</v>
      </c>
      <c r="K105" s="45" t="s">
        <v>659</v>
      </c>
    </row>
    <row r="106" spans="1:11" x14ac:dyDescent="0.25">
      <c r="A106" s="19">
        <f t="shared" si="3"/>
        <v>105</v>
      </c>
      <c r="B106" s="59"/>
      <c r="D106" s="45" t="s">
        <v>654</v>
      </c>
      <c r="E106" s="45" t="s">
        <v>18</v>
      </c>
      <c r="F106" s="46" t="s">
        <v>16</v>
      </c>
      <c r="G106" s="46">
        <v>1</v>
      </c>
      <c r="H106" s="79">
        <v>45877</v>
      </c>
      <c r="I106" s="45" t="s">
        <v>20</v>
      </c>
      <c r="J106" s="45" t="s">
        <v>33</v>
      </c>
      <c r="K106" s="45" t="s">
        <v>659</v>
      </c>
    </row>
    <row r="107" spans="1:11" x14ac:dyDescent="0.25">
      <c r="A107" s="19">
        <f t="shared" si="3"/>
        <v>106</v>
      </c>
      <c r="B107" s="59"/>
      <c r="D107" s="45" t="s">
        <v>655</v>
      </c>
      <c r="E107" s="45" t="s">
        <v>18</v>
      </c>
      <c r="F107" s="46" t="s">
        <v>16</v>
      </c>
      <c r="G107" s="46">
        <v>1</v>
      </c>
      <c r="H107" s="79">
        <v>45877</v>
      </c>
      <c r="I107" s="45" t="s">
        <v>20</v>
      </c>
      <c r="J107" s="45" t="s">
        <v>33</v>
      </c>
      <c r="K107" s="45" t="s">
        <v>659</v>
      </c>
    </row>
    <row r="108" spans="1:11" x14ac:dyDescent="0.25">
      <c r="A108" s="19">
        <f t="shared" si="3"/>
        <v>107</v>
      </c>
      <c r="B108" s="59"/>
      <c r="D108" s="45" t="s">
        <v>656</v>
      </c>
      <c r="E108" s="45" t="s">
        <v>18</v>
      </c>
      <c r="F108" s="46" t="s">
        <v>16</v>
      </c>
      <c r="G108" s="46">
        <v>1</v>
      </c>
      <c r="H108" s="79">
        <v>45877</v>
      </c>
      <c r="I108" s="45" t="s">
        <v>20</v>
      </c>
      <c r="J108" s="45" t="s">
        <v>33</v>
      </c>
      <c r="K108" s="45" t="s">
        <v>659</v>
      </c>
    </row>
    <row r="109" spans="1:11" x14ac:dyDescent="0.25">
      <c r="A109" s="19">
        <f t="shared" si="3"/>
        <v>108</v>
      </c>
      <c r="B109" s="59"/>
      <c r="D109" s="45" t="s">
        <v>657</v>
      </c>
      <c r="E109" s="45" t="s">
        <v>18</v>
      </c>
      <c r="F109" s="46" t="s">
        <v>16</v>
      </c>
      <c r="G109" s="46">
        <v>1</v>
      </c>
      <c r="H109" s="79">
        <v>45877</v>
      </c>
      <c r="I109" s="45" t="s">
        <v>20</v>
      </c>
      <c r="J109" s="45" t="s">
        <v>33</v>
      </c>
      <c r="K109" s="45" t="s">
        <v>659</v>
      </c>
    </row>
    <row r="110" spans="1:11" x14ac:dyDescent="0.25">
      <c r="A110" s="19">
        <f t="shared" si="3"/>
        <v>109</v>
      </c>
      <c r="B110" s="59"/>
      <c r="D110" s="45" t="s">
        <v>658</v>
      </c>
      <c r="E110" s="45" t="s">
        <v>18</v>
      </c>
      <c r="F110" s="46" t="s">
        <v>16</v>
      </c>
      <c r="G110" s="46">
        <v>1</v>
      </c>
      <c r="H110" s="79">
        <v>45877</v>
      </c>
      <c r="I110" s="45" t="s">
        <v>20</v>
      </c>
      <c r="J110" s="45" t="s">
        <v>33</v>
      </c>
      <c r="K110" s="45" t="s">
        <v>659</v>
      </c>
    </row>
    <row r="111" spans="1:11" x14ac:dyDescent="0.25">
      <c r="A111" s="19">
        <f t="shared" si="3"/>
        <v>110</v>
      </c>
      <c r="B111" s="59"/>
      <c r="D111" s="101" t="s">
        <v>665</v>
      </c>
      <c r="E111" s="45" t="s">
        <v>154</v>
      </c>
      <c r="F111" s="46" t="s">
        <v>16</v>
      </c>
      <c r="G111" s="46">
        <v>1</v>
      </c>
      <c r="H111" s="79">
        <v>45877</v>
      </c>
      <c r="I111" s="45" t="s">
        <v>20</v>
      </c>
      <c r="J111" s="45" t="s">
        <v>109</v>
      </c>
    </row>
    <row r="112" spans="1:11" x14ac:dyDescent="0.25">
      <c r="A112" s="19">
        <f t="shared" si="3"/>
        <v>111</v>
      </c>
      <c r="B112" s="58" t="s">
        <v>662</v>
      </c>
      <c r="D112" s="45" t="s">
        <v>660</v>
      </c>
      <c r="E112" s="45" t="s">
        <v>661</v>
      </c>
      <c r="F112" s="46" t="s">
        <v>12</v>
      </c>
      <c r="G112" s="46">
        <v>0</v>
      </c>
      <c r="H112" s="81">
        <v>45878</v>
      </c>
      <c r="I112" s="45" t="s">
        <v>24</v>
      </c>
      <c r="J112" s="45" t="s">
        <v>33</v>
      </c>
      <c r="K112" s="45" t="s">
        <v>22</v>
      </c>
    </row>
    <row r="113" spans="1:11" x14ac:dyDescent="0.25">
      <c r="A113" s="19">
        <f t="shared" si="3"/>
        <v>112</v>
      </c>
      <c r="B113" s="59"/>
      <c r="D113" s="45" t="s">
        <v>668</v>
      </c>
      <c r="E113" s="45" t="s">
        <v>233</v>
      </c>
      <c r="F113" s="46" t="s">
        <v>16</v>
      </c>
      <c r="G113" s="46">
        <v>1</v>
      </c>
      <c r="H113" s="79">
        <v>45878</v>
      </c>
      <c r="I113" s="45" t="s">
        <v>24</v>
      </c>
      <c r="J113" s="45" t="s">
        <v>109</v>
      </c>
    </row>
    <row r="114" spans="1:11" x14ac:dyDescent="0.25">
      <c r="A114" s="19">
        <f t="shared" si="3"/>
        <v>113</v>
      </c>
      <c r="B114" s="59"/>
      <c r="D114" s="45" t="s">
        <v>669</v>
      </c>
      <c r="E114" s="45" t="s">
        <v>335</v>
      </c>
      <c r="F114" s="46" t="s">
        <v>16</v>
      </c>
      <c r="G114" s="46">
        <v>2</v>
      </c>
      <c r="H114" s="79">
        <v>45878</v>
      </c>
      <c r="I114" s="45" t="s">
        <v>20</v>
      </c>
      <c r="J114" s="45" t="s">
        <v>109</v>
      </c>
    </row>
    <row r="115" spans="1:11" x14ac:dyDescent="0.25">
      <c r="A115" s="19">
        <f t="shared" si="3"/>
        <v>114</v>
      </c>
      <c r="B115" s="59"/>
      <c r="D115" s="45" t="s">
        <v>670</v>
      </c>
      <c r="E115" s="45" t="s">
        <v>57</v>
      </c>
      <c r="F115" s="46" t="s">
        <v>16</v>
      </c>
      <c r="G115" s="46">
        <v>1</v>
      </c>
      <c r="H115" s="79">
        <v>45878</v>
      </c>
      <c r="I115" s="45" t="s">
        <v>20</v>
      </c>
      <c r="J115" s="45" t="s">
        <v>109</v>
      </c>
    </row>
    <row r="116" spans="1:11" x14ac:dyDescent="0.25">
      <c r="A116" s="19">
        <f t="shared" si="3"/>
        <v>115</v>
      </c>
      <c r="B116" s="59"/>
      <c r="D116" s="45" t="s">
        <v>671</v>
      </c>
      <c r="E116" s="45" t="s">
        <v>121</v>
      </c>
      <c r="F116" s="46" t="s">
        <v>16</v>
      </c>
      <c r="G116" s="46">
        <v>2</v>
      </c>
      <c r="H116" s="79">
        <v>45879</v>
      </c>
      <c r="I116" s="45" t="s">
        <v>24</v>
      </c>
      <c r="J116" s="45" t="s">
        <v>109</v>
      </c>
    </row>
    <row r="117" spans="1:11" x14ac:dyDescent="0.25">
      <c r="A117" s="19">
        <f t="shared" si="3"/>
        <v>116</v>
      </c>
      <c r="B117" s="59"/>
      <c r="D117" s="45" t="s">
        <v>676</v>
      </c>
      <c r="E117" s="45" t="s">
        <v>677</v>
      </c>
      <c r="F117" s="46" t="s">
        <v>16</v>
      </c>
      <c r="G117" s="46">
        <v>1</v>
      </c>
      <c r="H117" s="79">
        <v>45880</v>
      </c>
      <c r="I117" s="45" t="s">
        <v>24</v>
      </c>
      <c r="J117" s="45" t="s">
        <v>109</v>
      </c>
    </row>
    <row r="118" spans="1:11" x14ac:dyDescent="0.25">
      <c r="A118" s="19">
        <f t="shared" si="3"/>
        <v>117</v>
      </c>
      <c r="B118" s="59"/>
      <c r="D118" s="45" t="s">
        <v>682</v>
      </c>
      <c r="E118" s="45" t="s">
        <v>154</v>
      </c>
      <c r="F118" s="46" t="s">
        <v>16</v>
      </c>
      <c r="G118" s="46">
        <v>1</v>
      </c>
      <c r="H118" s="79">
        <v>45880</v>
      </c>
      <c r="I118" s="45" t="s">
        <v>24</v>
      </c>
      <c r="K118" s="45" t="s">
        <v>683</v>
      </c>
    </row>
    <row r="119" spans="1:11" x14ac:dyDescent="0.25">
      <c r="A119" s="19">
        <f t="shared" si="3"/>
        <v>118</v>
      </c>
      <c r="B119" s="59"/>
      <c r="D119" s="103" t="s">
        <v>691</v>
      </c>
      <c r="E119" s="45" t="s">
        <v>335</v>
      </c>
      <c r="F119" s="46" t="s">
        <v>16</v>
      </c>
      <c r="G119" s="46">
        <v>3</v>
      </c>
      <c r="H119" s="79">
        <v>45881</v>
      </c>
      <c r="I119" s="45" t="s">
        <v>13</v>
      </c>
      <c r="J119" s="45" t="s">
        <v>109</v>
      </c>
    </row>
    <row r="120" spans="1:11" x14ac:dyDescent="0.25">
      <c r="A120" s="19">
        <f t="shared" si="3"/>
        <v>119</v>
      </c>
      <c r="B120" s="44" t="s">
        <v>685</v>
      </c>
      <c r="C120" s="45" t="s">
        <v>690</v>
      </c>
      <c r="D120" s="45" t="s">
        <v>684</v>
      </c>
      <c r="E120" s="45" t="s">
        <v>32</v>
      </c>
      <c r="F120" s="46" t="s">
        <v>108</v>
      </c>
      <c r="G120" s="46">
        <v>1</v>
      </c>
      <c r="H120" s="79">
        <v>45882</v>
      </c>
      <c r="I120" s="45" t="s">
        <v>13</v>
      </c>
      <c r="K120" s="45" t="s">
        <v>686</v>
      </c>
    </row>
    <row r="121" spans="1:11" x14ac:dyDescent="0.25">
      <c r="A121" s="19">
        <f t="shared" si="3"/>
        <v>120</v>
      </c>
      <c r="B121" s="44" t="s">
        <v>711</v>
      </c>
      <c r="C121" s="45" t="s">
        <v>710</v>
      </c>
      <c r="D121" s="55" t="s">
        <v>708</v>
      </c>
      <c r="E121" s="55" t="s">
        <v>18</v>
      </c>
      <c r="F121" s="46" t="s">
        <v>19</v>
      </c>
      <c r="G121" s="46">
        <v>3</v>
      </c>
      <c r="H121" s="79">
        <v>45882</v>
      </c>
      <c r="I121" s="45" t="s">
        <v>14</v>
      </c>
      <c r="J121" s="45" t="s">
        <v>33</v>
      </c>
    </row>
    <row r="122" spans="1:11" x14ac:dyDescent="0.25">
      <c r="A122" s="19">
        <f t="shared" si="3"/>
        <v>121</v>
      </c>
      <c r="B122" s="44" t="s">
        <v>711</v>
      </c>
      <c r="C122" s="45" t="s">
        <v>710</v>
      </c>
      <c r="D122" s="55" t="s">
        <v>709</v>
      </c>
      <c r="E122" s="55" t="s">
        <v>18</v>
      </c>
      <c r="F122" s="46" t="s">
        <v>108</v>
      </c>
      <c r="G122" s="46">
        <v>3</v>
      </c>
      <c r="H122" s="79">
        <v>45882</v>
      </c>
      <c r="I122" s="45" t="s">
        <v>13</v>
      </c>
      <c r="J122" s="45" t="s">
        <v>33</v>
      </c>
    </row>
    <row r="123" spans="1:11" x14ac:dyDescent="0.25">
      <c r="A123" s="19">
        <f t="shared" si="3"/>
        <v>122</v>
      </c>
      <c r="D123" s="45" t="s">
        <v>741</v>
      </c>
      <c r="E123" s="45" t="s">
        <v>292</v>
      </c>
      <c r="F123" s="46" t="s">
        <v>16</v>
      </c>
      <c r="G123" s="46">
        <v>2</v>
      </c>
      <c r="H123" s="79">
        <v>45882</v>
      </c>
      <c r="I123" s="45" t="s">
        <v>20</v>
      </c>
      <c r="J123" s="45" t="s">
        <v>555</v>
      </c>
      <c r="K123" s="45" t="s">
        <v>742</v>
      </c>
    </row>
    <row r="124" spans="1:11" x14ac:dyDescent="0.25">
      <c r="A124" s="19">
        <f t="shared" si="3"/>
        <v>123</v>
      </c>
      <c r="D124" s="45" t="s">
        <v>743</v>
      </c>
      <c r="E124" s="45" t="s">
        <v>619</v>
      </c>
      <c r="F124" s="46" t="s">
        <v>16</v>
      </c>
      <c r="G124" s="46">
        <v>1</v>
      </c>
      <c r="H124" s="79">
        <v>45882</v>
      </c>
      <c r="I124" s="45" t="s">
        <v>20</v>
      </c>
      <c r="J124" s="45" t="s">
        <v>109</v>
      </c>
      <c r="K124" s="45" t="s">
        <v>747</v>
      </c>
    </row>
    <row r="125" spans="1:11" x14ac:dyDescent="0.25">
      <c r="A125" s="19">
        <f t="shared" si="3"/>
        <v>124</v>
      </c>
      <c r="D125" s="45" t="s">
        <v>744</v>
      </c>
      <c r="E125" s="45" t="s">
        <v>619</v>
      </c>
      <c r="F125" s="46" t="s">
        <v>16</v>
      </c>
      <c r="G125" s="46">
        <v>1</v>
      </c>
      <c r="H125" s="79">
        <v>45882</v>
      </c>
      <c r="I125" s="45" t="s">
        <v>20</v>
      </c>
      <c r="J125" s="45" t="s">
        <v>109</v>
      </c>
      <c r="K125" s="45" t="s">
        <v>747</v>
      </c>
    </row>
    <row r="126" spans="1:11" x14ac:dyDescent="0.25">
      <c r="A126" s="19">
        <f t="shared" si="3"/>
        <v>125</v>
      </c>
      <c r="D126" s="45" t="s">
        <v>745</v>
      </c>
      <c r="E126" s="45" t="s">
        <v>619</v>
      </c>
      <c r="F126" s="46" t="s">
        <v>16</v>
      </c>
      <c r="G126" s="46">
        <v>1</v>
      </c>
      <c r="H126" s="79">
        <v>45882</v>
      </c>
      <c r="I126" s="45" t="s">
        <v>20</v>
      </c>
      <c r="J126" s="45" t="s">
        <v>109</v>
      </c>
      <c r="K126" s="45" t="s">
        <v>747</v>
      </c>
    </row>
    <row r="127" spans="1:11" x14ac:dyDescent="0.25">
      <c r="A127" s="19">
        <f t="shared" si="3"/>
        <v>126</v>
      </c>
      <c r="D127" s="45" t="s">
        <v>746</v>
      </c>
      <c r="E127" s="45" t="s">
        <v>619</v>
      </c>
      <c r="F127" s="46" t="s">
        <v>16</v>
      </c>
      <c r="G127" s="46">
        <v>1</v>
      </c>
      <c r="H127" s="79">
        <v>45882</v>
      </c>
      <c r="I127" s="45" t="s">
        <v>20</v>
      </c>
      <c r="J127" s="45" t="s">
        <v>109</v>
      </c>
      <c r="K127" s="45" t="s">
        <v>747</v>
      </c>
    </row>
    <row r="128" spans="1:11" x14ac:dyDescent="0.25">
      <c r="A128" s="19">
        <f t="shared" si="3"/>
        <v>127</v>
      </c>
      <c r="D128" s="45" t="s">
        <v>748</v>
      </c>
      <c r="E128" s="45" t="s">
        <v>749</v>
      </c>
      <c r="F128" s="46" t="s">
        <v>16</v>
      </c>
      <c r="G128" s="46">
        <v>1</v>
      </c>
      <c r="H128" s="79">
        <v>45882</v>
      </c>
      <c r="I128" s="45" t="s">
        <v>13</v>
      </c>
      <c r="J128" s="45" t="s">
        <v>31</v>
      </c>
      <c r="K128" s="45" t="s">
        <v>750</v>
      </c>
    </row>
    <row r="129" spans="1:11" x14ac:dyDescent="0.25">
      <c r="A129" s="19">
        <f t="shared" si="3"/>
        <v>128</v>
      </c>
      <c r="D129" s="45" t="s">
        <v>751</v>
      </c>
      <c r="E129" s="45" t="s">
        <v>752</v>
      </c>
      <c r="F129" s="46" t="s">
        <v>16</v>
      </c>
      <c r="G129" s="46">
        <v>1</v>
      </c>
      <c r="H129" s="81">
        <v>45883</v>
      </c>
      <c r="I129" s="45" t="s">
        <v>13</v>
      </c>
      <c r="J129" s="45" t="s">
        <v>31</v>
      </c>
      <c r="K129" s="45" t="s">
        <v>750</v>
      </c>
    </row>
    <row r="130" spans="1:11" x14ac:dyDescent="0.25">
      <c r="A130" s="19">
        <f t="shared" ref="A130:A154" si="4">ROW()-1</f>
        <v>129</v>
      </c>
      <c r="B130" s="44" t="s">
        <v>34</v>
      </c>
      <c r="C130" s="45" t="s">
        <v>107</v>
      </c>
      <c r="D130" s="53" t="s">
        <v>136</v>
      </c>
      <c r="E130" s="53" t="s">
        <v>27</v>
      </c>
      <c r="J130" s="7" t="s">
        <v>33</v>
      </c>
      <c r="K130" s="45" t="s">
        <v>138</v>
      </c>
    </row>
    <row r="131" spans="1:11" x14ac:dyDescent="0.25">
      <c r="A131" s="19">
        <f t="shared" si="4"/>
        <v>130</v>
      </c>
      <c r="B131" s="44" t="s">
        <v>34</v>
      </c>
      <c r="C131" s="45" t="s">
        <v>107</v>
      </c>
      <c r="D131" s="53" t="s">
        <v>137</v>
      </c>
      <c r="E131" s="53" t="s">
        <v>27</v>
      </c>
      <c r="I131" s="55"/>
      <c r="J131" s="7" t="s">
        <v>33</v>
      </c>
      <c r="K131" s="45" t="s">
        <v>138</v>
      </c>
    </row>
    <row r="132" spans="1:11" x14ac:dyDescent="0.25">
      <c r="A132" s="19">
        <f t="shared" si="4"/>
        <v>131</v>
      </c>
      <c r="B132" s="44" t="s">
        <v>34</v>
      </c>
      <c r="C132" s="45" t="s">
        <v>107</v>
      </c>
      <c r="D132" s="53" t="s">
        <v>316</v>
      </c>
      <c r="E132" s="53" t="s">
        <v>293</v>
      </c>
      <c r="I132" s="45" t="s">
        <v>13</v>
      </c>
      <c r="J132" s="7" t="s">
        <v>33</v>
      </c>
      <c r="K132" s="45" t="s">
        <v>353</v>
      </c>
    </row>
    <row r="133" spans="1:11" x14ac:dyDescent="0.25">
      <c r="A133" s="19">
        <f t="shared" si="4"/>
        <v>132</v>
      </c>
      <c r="B133" s="44" t="s">
        <v>333</v>
      </c>
      <c r="C133" s="45" t="s">
        <v>374</v>
      </c>
      <c r="D133" s="45" t="s">
        <v>381</v>
      </c>
      <c r="E133" s="45" t="s">
        <v>382</v>
      </c>
      <c r="I133" s="45" t="s">
        <v>13</v>
      </c>
      <c r="J133" s="45" t="s">
        <v>33</v>
      </c>
      <c r="K133" s="45" t="s">
        <v>332</v>
      </c>
    </row>
    <row r="134" spans="1:11" x14ac:dyDescent="0.25">
      <c r="A134" s="19">
        <f t="shared" si="4"/>
        <v>133</v>
      </c>
      <c r="B134" s="44" t="s">
        <v>333</v>
      </c>
      <c r="C134" s="45" t="s">
        <v>374</v>
      </c>
      <c r="D134" s="45" t="s">
        <v>383</v>
      </c>
      <c r="E134" s="45" t="s">
        <v>382</v>
      </c>
      <c r="I134" s="45" t="s">
        <v>13</v>
      </c>
      <c r="J134" s="45" t="s">
        <v>33</v>
      </c>
      <c r="K134" s="45" t="s">
        <v>332</v>
      </c>
    </row>
    <row r="135" spans="1:11" x14ac:dyDescent="0.25">
      <c r="A135" s="19">
        <f t="shared" si="4"/>
        <v>134</v>
      </c>
      <c r="B135" s="44" t="s">
        <v>333</v>
      </c>
      <c r="C135" s="45" t="s">
        <v>374</v>
      </c>
      <c r="D135" s="45" t="s">
        <v>384</v>
      </c>
      <c r="E135" s="45" t="s">
        <v>154</v>
      </c>
      <c r="I135" s="45" t="s">
        <v>13</v>
      </c>
      <c r="J135" s="45" t="s">
        <v>33</v>
      </c>
      <c r="K135" s="45" t="s">
        <v>332</v>
      </c>
    </row>
    <row r="136" spans="1:11" x14ac:dyDescent="0.25">
      <c r="A136" s="19">
        <f t="shared" si="4"/>
        <v>135</v>
      </c>
      <c r="B136" s="44" t="s">
        <v>391</v>
      </c>
      <c r="D136" s="53" t="s">
        <v>387</v>
      </c>
      <c r="E136" s="53" t="s">
        <v>27</v>
      </c>
      <c r="I136" s="45" t="s">
        <v>14</v>
      </c>
      <c r="J136" s="45" t="s">
        <v>109</v>
      </c>
      <c r="K136" s="45" t="s">
        <v>389</v>
      </c>
    </row>
    <row r="137" spans="1:11" x14ac:dyDescent="0.25">
      <c r="A137" s="19">
        <f t="shared" si="4"/>
        <v>136</v>
      </c>
      <c r="B137" s="44" t="s">
        <v>408</v>
      </c>
      <c r="C137" s="45" t="s">
        <v>407</v>
      </c>
      <c r="D137" s="45" t="s">
        <v>405</v>
      </c>
      <c r="E137" s="45" t="s">
        <v>154</v>
      </c>
      <c r="I137" s="45" t="s">
        <v>13</v>
      </c>
      <c r="J137" s="45" t="s">
        <v>33</v>
      </c>
      <c r="K137" s="45" t="s">
        <v>409</v>
      </c>
    </row>
    <row r="138" spans="1:11" x14ac:dyDescent="0.25">
      <c r="A138" s="19">
        <f t="shared" si="4"/>
        <v>137</v>
      </c>
      <c r="B138" s="44" t="s">
        <v>464</v>
      </c>
      <c r="C138" s="45" t="s">
        <v>374</v>
      </c>
      <c r="D138" s="45" t="s">
        <v>445</v>
      </c>
      <c r="E138" s="45" t="s">
        <v>23</v>
      </c>
      <c r="I138" s="45" t="s">
        <v>13</v>
      </c>
      <c r="J138" s="45" t="s">
        <v>33</v>
      </c>
      <c r="K138" s="45" t="s">
        <v>332</v>
      </c>
    </row>
    <row r="139" spans="1:11" x14ac:dyDescent="0.25">
      <c r="A139" s="19">
        <f t="shared" si="4"/>
        <v>138</v>
      </c>
      <c r="B139" s="44" t="s">
        <v>611</v>
      </c>
      <c r="C139" s="45" t="s">
        <v>419</v>
      </c>
      <c r="D139" s="45" t="s">
        <v>608</v>
      </c>
      <c r="E139" s="45" t="s">
        <v>609</v>
      </c>
      <c r="I139" s="45" t="s">
        <v>17</v>
      </c>
      <c r="K139" s="45" t="s">
        <v>627</v>
      </c>
    </row>
    <row r="140" spans="1:11" x14ac:dyDescent="0.25">
      <c r="A140" s="19">
        <f t="shared" si="4"/>
        <v>139</v>
      </c>
      <c r="B140" s="44" t="s">
        <v>34</v>
      </c>
      <c r="C140" s="45" t="s">
        <v>497</v>
      </c>
      <c r="D140" s="53" t="s">
        <v>693</v>
      </c>
      <c r="E140" s="53" t="s">
        <v>382</v>
      </c>
      <c r="J140" s="45" t="s">
        <v>33</v>
      </c>
      <c r="K140" s="45" t="s">
        <v>700</v>
      </c>
    </row>
    <row r="141" spans="1:11" x14ac:dyDescent="0.25">
      <c r="A141" s="19">
        <f t="shared" si="4"/>
        <v>140</v>
      </c>
      <c r="B141" s="44" t="s">
        <v>464</v>
      </c>
      <c r="C141" s="45" t="s">
        <v>701</v>
      </c>
      <c r="D141" s="53" t="s">
        <v>454</v>
      </c>
      <c r="E141" s="53" t="s">
        <v>292</v>
      </c>
      <c r="I141" s="45" t="s">
        <v>13</v>
      </c>
      <c r="J141" s="45" t="s">
        <v>33</v>
      </c>
      <c r="K141" s="45" t="s">
        <v>698</v>
      </c>
    </row>
    <row r="142" spans="1:11" x14ac:dyDescent="0.25">
      <c r="A142" s="19">
        <f t="shared" si="4"/>
        <v>141</v>
      </c>
      <c r="B142" s="44" t="s">
        <v>464</v>
      </c>
      <c r="C142" s="45" t="s">
        <v>701</v>
      </c>
      <c r="D142" s="53" t="s">
        <v>455</v>
      </c>
      <c r="E142" s="53" t="s">
        <v>292</v>
      </c>
      <c r="I142" s="45" t="s">
        <v>13</v>
      </c>
      <c r="J142" s="45" t="s">
        <v>33</v>
      </c>
      <c r="K142" s="45" t="s">
        <v>698</v>
      </c>
    </row>
    <row r="143" spans="1:11" x14ac:dyDescent="0.25">
      <c r="A143" s="19">
        <f t="shared" si="4"/>
        <v>142</v>
      </c>
      <c r="B143" s="44" t="s">
        <v>464</v>
      </c>
      <c r="C143" s="45" t="s">
        <v>701</v>
      </c>
      <c r="D143" s="53" t="s">
        <v>448</v>
      </c>
      <c r="E143" s="53" t="s">
        <v>292</v>
      </c>
      <c r="I143" s="45" t="s">
        <v>13</v>
      </c>
      <c r="J143" s="45" t="s">
        <v>33</v>
      </c>
      <c r="K143" s="45" t="s">
        <v>698</v>
      </c>
    </row>
    <row r="144" spans="1:11" x14ac:dyDescent="0.25">
      <c r="A144" s="19">
        <f t="shared" si="4"/>
        <v>143</v>
      </c>
      <c r="B144" s="44" t="s">
        <v>464</v>
      </c>
      <c r="C144" s="45" t="s">
        <v>701</v>
      </c>
      <c r="D144" s="53" t="s">
        <v>449</v>
      </c>
      <c r="E144" s="53" t="s">
        <v>292</v>
      </c>
      <c r="I144" s="45" t="s">
        <v>13</v>
      </c>
      <c r="J144" s="45" t="s">
        <v>33</v>
      </c>
      <c r="K144" s="45" t="s">
        <v>698</v>
      </c>
    </row>
    <row r="145" spans="1:11" x14ac:dyDescent="0.25">
      <c r="A145" s="19">
        <f t="shared" si="4"/>
        <v>144</v>
      </c>
      <c r="B145" s="44" t="s">
        <v>696</v>
      </c>
      <c r="C145" s="45" t="s">
        <v>497</v>
      </c>
      <c r="D145" s="53" t="s">
        <v>694</v>
      </c>
      <c r="E145" s="53" t="s">
        <v>121</v>
      </c>
      <c r="J145" s="45" t="s">
        <v>33</v>
      </c>
      <c r="K145" s="45" t="s">
        <v>698</v>
      </c>
    </row>
    <row r="146" spans="1:11" x14ac:dyDescent="0.25">
      <c r="A146" s="19">
        <f t="shared" si="4"/>
        <v>145</v>
      </c>
      <c r="B146" s="44" t="s">
        <v>697</v>
      </c>
      <c r="C146" s="45" t="s">
        <v>497</v>
      </c>
      <c r="D146" s="53" t="s">
        <v>695</v>
      </c>
      <c r="E146" s="53" t="s">
        <v>23</v>
      </c>
      <c r="J146" s="45" t="s">
        <v>33</v>
      </c>
      <c r="K146" s="45" t="s">
        <v>699</v>
      </c>
    </row>
    <row r="147" spans="1:11" x14ac:dyDescent="0.25">
      <c r="A147" s="19">
        <f t="shared" si="4"/>
        <v>146</v>
      </c>
      <c r="B147" s="44" t="s">
        <v>705</v>
      </c>
      <c r="D147" s="45" t="s">
        <v>706</v>
      </c>
      <c r="E147" s="45" t="s">
        <v>121</v>
      </c>
      <c r="F147" s="56"/>
      <c r="G147" s="45"/>
      <c r="H147" s="45"/>
      <c r="J147" s="45" t="s">
        <v>33</v>
      </c>
      <c r="K147" s="45" t="s">
        <v>707</v>
      </c>
    </row>
    <row r="148" spans="1:11" x14ac:dyDescent="0.25">
      <c r="A148" s="19">
        <f t="shared" si="4"/>
        <v>147</v>
      </c>
      <c r="B148" s="44" t="s">
        <v>735</v>
      </c>
      <c r="C148" s="45" t="s">
        <v>419</v>
      </c>
      <c r="D148" s="45" t="s">
        <v>729</v>
      </c>
      <c r="E148" s="45" t="s">
        <v>730</v>
      </c>
      <c r="J148" s="45" t="s">
        <v>33</v>
      </c>
    </row>
    <row r="149" spans="1:11" x14ac:dyDescent="0.25">
      <c r="A149" s="19">
        <f t="shared" si="4"/>
        <v>148</v>
      </c>
      <c r="B149" s="44" t="s">
        <v>735</v>
      </c>
      <c r="C149" s="45" t="s">
        <v>419</v>
      </c>
      <c r="D149" s="45" t="s">
        <v>731</v>
      </c>
      <c r="E149" s="45" t="s">
        <v>730</v>
      </c>
      <c r="J149" s="45" t="s">
        <v>33</v>
      </c>
    </row>
    <row r="150" spans="1:11" x14ac:dyDescent="0.25">
      <c r="A150" s="19">
        <f t="shared" si="4"/>
        <v>149</v>
      </c>
      <c r="B150" s="44" t="s">
        <v>735</v>
      </c>
      <c r="C150" s="45" t="s">
        <v>419</v>
      </c>
      <c r="D150" s="45" t="s">
        <v>732</v>
      </c>
      <c r="E150" s="45" t="s">
        <v>581</v>
      </c>
      <c r="J150" s="45" t="s">
        <v>33</v>
      </c>
    </row>
    <row r="151" spans="1:11" x14ac:dyDescent="0.25">
      <c r="A151" s="19">
        <f t="shared" si="4"/>
        <v>150</v>
      </c>
      <c r="B151" s="44" t="s">
        <v>735</v>
      </c>
      <c r="C151" s="45" t="s">
        <v>419</v>
      </c>
      <c r="D151" s="45" t="s">
        <v>733</v>
      </c>
      <c r="E151" s="45" t="s">
        <v>581</v>
      </c>
      <c r="J151" s="45" t="s">
        <v>33</v>
      </c>
    </row>
    <row r="152" spans="1:11" x14ac:dyDescent="0.25">
      <c r="A152" s="19">
        <f t="shared" si="4"/>
        <v>151</v>
      </c>
      <c r="B152" s="44" t="s">
        <v>735</v>
      </c>
      <c r="C152" s="45" t="s">
        <v>419</v>
      </c>
      <c r="D152" s="45" t="s">
        <v>734</v>
      </c>
      <c r="E152" s="45" t="s">
        <v>581</v>
      </c>
      <c r="J152" s="45" t="s">
        <v>33</v>
      </c>
    </row>
    <row r="153" spans="1:11" x14ac:dyDescent="0.25">
      <c r="A153" s="19">
        <f t="shared" si="4"/>
        <v>152</v>
      </c>
      <c r="B153" s="44" t="s">
        <v>739</v>
      </c>
      <c r="C153" s="45" t="s">
        <v>738</v>
      </c>
      <c r="D153" s="71" t="s">
        <v>736</v>
      </c>
      <c r="E153" s="71" t="s">
        <v>23</v>
      </c>
      <c r="J153" s="45" t="s">
        <v>33</v>
      </c>
      <c r="K153" s="45" t="s">
        <v>740</v>
      </c>
    </row>
    <row r="154" spans="1:11" x14ac:dyDescent="0.25">
      <c r="A154" s="19">
        <f t="shared" si="4"/>
        <v>153</v>
      </c>
      <c r="B154" s="44" t="s">
        <v>739</v>
      </c>
      <c r="C154" s="45" t="s">
        <v>738</v>
      </c>
      <c r="D154" s="71" t="s">
        <v>737</v>
      </c>
      <c r="E154" s="71" t="s">
        <v>23</v>
      </c>
      <c r="J154" s="45" t="s">
        <v>33</v>
      </c>
      <c r="K154" s="45" t="s">
        <v>740</v>
      </c>
    </row>
  </sheetData>
  <autoFilter ref="A1:K145">
    <sortState ref="A2:K154">
      <sortCondition ref="H1:H145"/>
    </sortState>
  </autoFilter>
  <conditionalFormatting sqref="D1:D1048576">
    <cfRule type="containsText" dxfId="17" priority="1" operator="containsText" text=",">
      <formula>NOT(ISERROR(SEARCH(",",D1)))</formula>
    </cfRule>
    <cfRule type="endsWith" dxfId="16" priority="2" operator="endsWith" text=" ">
      <formula>RIGHT(D1,LEN(" "))=" "</formula>
    </cfRule>
    <cfRule type="duplicateValues" dxfId="15" priority="3"/>
  </conditionalFormatting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orrectDSE">
                <anchor moveWithCells="1" sizeWithCells="1">
                  <from>
                    <xdr:col>3</xdr:col>
                    <xdr:colOff>38100</xdr:colOff>
                    <xdr:row>0</xdr:row>
                    <xdr:rowOff>57150</xdr:rowOff>
                  </from>
                  <to>
                    <xdr:col>3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K159"/>
  <sheetViews>
    <sheetView tabSelected="1" zoomScale="85" zoomScaleNormal="85" workbookViewId="0">
      <pane ySplit="1" topLeftCell="A2" activePane="bottomLeft" state="frozen"/>
      <selection pane="bottomLeft" activeCell="F99" sqref="F99"/>
    </sheetView>
  </sheetViews>
  <sheetFormatPr defaultRowHeight="15" x14ac:dyDescent="0.25"/>
  <cols>
    <col min="1" max="1" width="4.28515625" style="21" customWidth="1"/>
    <col min="2" max="2" width="29.7109375" style="18" customWidth="1"/>
    <col min="3" max="3" width="43.5703125" style="17" customWidth="1"/>
    <col min="4" max="4" width="37.28515625" style="17" customWidth="1"/>
    <col min="5" max="5" width="37.5703125" style="17" customWidth="1"/>
    <col min="6" max="6" width="8.5703125" style="48" customWidth="1"/>
    <col min="7" max="7" width="11.28515625" style="17" bestFit="1" customWidth="1"/>
    <col min="8" max="8" width="28.28515625" style="17" customWidth="1"/>
    <col min="9" max="9" width="21.42578125" style="17" customWidth="1"/>
    <col min="10" max="10" width="10.85546875" style="17" customWidth="1"/>
    <col min="11" max="11" width="76.42578125" style="17" customWidth="1"/>
  </cols>
  <sheetData>
    <row r="1" spans="1:11" s="1" customFormat="1" ht="30" customHeight="1" thickBot="1" x14ac:dyDescent="0.3">
      <c r="A1" s="16" t="s">
        <v>0</v>
      </c>
      <c r="B1" s="15" t="s">
        <v>1</v>
      </c>
      <c r="C1" s="12" t="s">
        <v>2</v>
      </c>
      <c r="D1" s="12" t="s">
        <v>95</v>
      </c>
      <c r="E1" s="12" t="s">
        <v>3</v>
      </c>
      <c r="F1" s="49" t="s">
        <v>10</v>
      </c>
      <c r="G1" s="12" t="s">
        <v>4</v>
      </c>
      <c r="H1" s="12" t="s">
        <v>5</v>
      </c>
      <c r="I1" s="12" t="s">
        <v>6</v>
      </c>
      <c r="J1" s="13" t="s">
        <v>8</v>
      </c>
      <c r="K1" s="14" t="s">
        <v>7</v>
      </c>
    </row>
    <row r="2" spans="1:11" s="65" customFormat="1" ht="15.75" customHeight="1" x14ac:dyDescent="0.25">
      <c r="A2" s="19">
        <f t="shared" ref="A2:A24" si="0">ROW()-1</f>
        <v>1</v>
      </c>
      <c r="B2" s="59"/>
      <c r="C2" s="45" t="s">
        <v>241</v>
      </c>
      <c r="D2" s="55" t="s">
        <v>238</v>
      </c>
      <c r="E2" s="55" t="s">
        <v>237</v>
      </c>
      <c r="F2" s="62" t="s">
        <v>153</v>
      </c>
      <c r="G2" s="46">
        <v>1</v>
      </c>
      <c r="H2" s="80">
        <v>45857</v>
      </c>
      <c r="I2" s="45" t="s">
        <v>72</v>
      </c>
      <c r="J2" s="45" t="s">
        <v>31</v>
      </c>
      <c r="K2" s="45" t="s">
        <v>345</v>
      </c>
    </row>
    <row r="3" spans="1:11" s="65" customFormat="1" ht="15.75" customHeight="1" x14ac:dyDescent="0.25">
      <c r="A3" s="19">
        <f t="shared" si="0"/>
        <v>2</v>
      </c>
      <c r="B3" s="59"/>
      <c r="C3" s="45"/>
      <c r="D3" s="45" t="s">
        <v>397</v>
      </c>
      <c r="E3" s="45" t="s">
        <v>32</v>
      </c>
      <c r="F3" s="62" t="s">
        <v>153</v>
      </c>
      <c r="G3" s="46">
        <v>2</v>
      </c>
      <c r="H3" s="80">
        <v>45860</v>
      </c>
      <c r="I3" s="7" t="s">
        <v>234</v>
      </c>
      <c r="J3" s="45" t="s">
        <v>31</v>
      </c>
      <c r="K3" s="45" t="s">
        <v>410</v>
      </c>
    </row>
    <row r="4" spans="1:11" s="65" customFormat="1" ht="15.75" customHeight="1" x14ac:dyDescent="0.25">
      <c r="A4" s="19">
        <f t="shared" si="0"/>
        <v>3</v>
      </c>
      <c r="B4" s="59" t="s">
        <v>421</v>
      </c>
      <c r="C4" s="45"/>
      <c r="D4" s="45" t="s">
        <v>334</v>
      </c>
      <c r="E4" s="45" t="s">
        <v>142</v>
      </c>
      <c r="F4" s="62" t="s">
        <v>153</v>
      </c>
      <c r="G4" s="46">
        <v>1</v>
      </c>
      <c r="H4" s="80">
        <v>45860</v>
      </c>
      <c r="I4" s="45" t="s">
        <v>234</v>
      </c>
      <c r="J4" s="7" t="s">
        <v>33</v>
      </c>
      <c r="K4" s="45" t="s">
        <v>415</v>
      </c>
    </row>
    <row r="5" spans="1:11" s="65" customFormat="1" ht="15.75" customHeight="1" x14ac:dyDescent="0.25">
      <c r="A5" s="19">
        <f t="shared" si="0"/>
        <v>4</v>
      </c>
      <c r="B5" s="59"/>
      <c r="C5" s="45"/>
      <c r="D5" s="45" t="s">
        <v>465</v>
      </c>
      <c r="E5" s="45" t="s">
        <v>420</v>
      </c>
      <c r="F5" s="62" t="s">
        <v>153</v>
      </c>
      <c r="G5" s="46">
        <v>2</v>
      </c>
      <c r="H5" s="80">
        <v>45861</v>
      </c>
      <c r="I5" s="45" t="s">
        <v>40</v>
      </c>
      <c r="J5" s="45"/>
      <c r="K5" s="45" t="s">
        <v>466</v>
      </c>
    </row>
    <row r="6" spans="1:11" s="65" customFormat="1" ht="15.75" customHeight="1" x14ac:dyDescent="0.25">
      <c r="A6" s="19">
        <f t="shared" si="0"/>
        <v>5</v>
      </c>
      <c r="B6" s="59"/>
      <c r="C6" s="45"/>
      <c r="D6" s="45" t="s">
        <v>489</v>
      </c>
      <c r="E6" s="45" t="s">
        <v>490</v>
      </c>
      <c r="F6" s="62" t="s">
        <v>153</v>
      </c>
      <c r="G6" s="46">
        <v>2</v>
      </c>
      <c r="H6" s="80">
        <v>45861</v>
      </c>
      <c r="I6" s="7" t="s">
        <v>234</v>
      </c>
      <c r="J6" s="45" t="s">
        <v>31</v>
      </c>
      <c r="K6" s="45" t="s">
        <v>491</v>
      </c>
    </row>
    <row r="7" spans="1:11" s="65" customFormat="1" ht="15.75" customHeight="1" x14ac:dyDescent="0.25">
      <c r="A7" s="19">
        <f t="shared" si="0"/>
        <v>6</v>
      </c>
      <c r="B7" s="59"/>
      <c r="C7" s="45"/>
      <c r="D7" s="45" t="s">
        <v>492</v>
      </c>
      <c r="E7" s="45" t="s">
        <v>490</v>
      </c>
      <c r="F7" s="62" t="s">
        <v>153</v>
      </c>
      <c r="G7" s="46">
        <v>2</v>
      </c>
      <c r="H7" s="80">
        <v>45861</v>
      </c>
      <c r="I7" s="7" t="s">
        <v>234</v>
      </c>
      <c r="J7" s="45" t="s">
        <v>31</v>
      </c>
      <c r="K7" s="45" t="s">
        <v>491</v>
      </c>
    </row>
    <row r="8" spans="1:11" s="65" customFormat="1" ht="15.75" customHeight="1" x14ac:dyDescent="0.25">
      <c r="A8" s="19">
        <f t="shared" si="0"/>
        <v>7</v>
      </c>
      <c r="B8" s="98" t="s">
        <v>28</v>
      </c>
      <c r="C8" s="54" t="s">
        <v>29</v>
      </c>
      <c r="D8" s="5" t="s">
        <v>50</v>
      </c>
      <c r="E8" s="4" t="s">
        <v>27</v>
      </c>
      <c r="F8" s="50"/>
      <c r="G8" s="34"/>
      <c r="H8" s="35" t="s">
        <v>45</v>
      </c>
      <c r="I8" s="2"/>
      <c r="J8" s="7"/>
      <c r="K8" s="7" t="s">
        <v>67</v>
      </c>
    </row>
    <row r="9" spans="1:11" s="65" customFormat="1" ht="15.75" customHeight="1" x14ac:dyDescent="0.25">
      <c r="A9" s="19">
        <f t="shared" si="0"/>
        <v>8</v>
      </c>
      <c r="B9" s="98" t="s">
        <v>28</v>
      </c>
      <c r="C9" s="54" t="s">
        <v>29</v>
      </c>
      <c r="D9" s="54" t="s">
        <v>52</v>
      </c>
      <c r="E9" s="8" t="s">
        <v>51</v>
      </c>
      <c r="F9" s="31"/>
      <c r="G9" s="34"/>
      <c r="H9" s="35" t="s">
        <v>45</v>
      </c>
      <c r="I9" s="9"/>
      <c r="J9" s="7"/>
      <c r="K9" s="7" t="s">
        <v>67</v>
      </c>
    </row>
    <row r="10" spans="1:11" s="65" customFormat="1" ht="15.75" customHeight="1" x14ac:dyDescent="0.25">
      <c r="A10" s="19">
        <f t="shared" si="0"/>
        <v>9</v>
      </c>
      <c r="B10" s="98" t="s">
        <v>28</v>
      </c>
      <c r="C10" s="54" t="s">
        <v>29</v>
      </c>
      <c r="D10" s="54" t="s">
        <v>53</v>
      </c>
      <c r="E10" s="8" t="s">
        <v>27</v>
      </c>
      <c r="F10" s="50"/>
      <c r="G10" s="34"/>
      <c r="H10" s="35" t="s">
        <v>45</v>
      </c>
      <c r="I10" s="2"/>
      <c r="J10" s="7"/>
      <c r="K10" s="7" t="s">
        <v>67</v>
      </c>
    </row>
    <row r="11" spans="1:11" s="65" customFormat="1" ht="15.75" customHeight="1" x14ac:dyDescent="0.25">
      <c r="A11" s="19">
        <f t="shared" si="0"/>
        <v>10</v>
      </c>
      <c r="B11" s="98" t="s">
        <v>28</v>
      </c>
      <c r="C11" s="54" t="s">
        <v>29</v>
      </c>
      <c r="D11" s="54" t="s">
        <v>54</v>
      </c>
      <c r="E11" s="8" t="s">
        <v>39</v>
      </c>
      <c r="F11" s="50"/>
      <c r="G11" s="34"/>
      <c r="H11" s="35" t="s">
        <v>45</v>
      </c>
      <c r="I11" s="2"/>
      <c r="J11" s="7"/>
      <c r="K11" s="7" t="s">
        <v>67</v>
      </c>
    </row>
    <row r="12" spans="1:11" s="65" customFormat="1" ht="15.75" customHeight="1" x14ac:dyDescent="0.25">
      <c r="A12" s="19">
        <f t="shared" si="0"/>
        <v>11</v>
      </c>
      <c r="B12" s="98" t="s">
        <v>28</v>
      </c>
      <c r="C12" s="54" t="s">
        <v>29</v>
      </c>
      <c r="D12" s="54" t="s">
        <v>55</v>
      </c>
      <c r="E12" s="8" t="s">
        <v>36</v>
      </c>
      <c r="F12" s="50"/>
      <c r="G12" s="34"/>
      <c r="H12" s="35" t="s">
        <v>45</v>
      </c>
      <c r="I12" s="2"/>
      <c r="J12" s="7"/>
      <c r="K12" s="7" t="s">
        <v>67</v>
      </c>
    </row>
    <row r="13" spans="1:11" s="65" customFormat="1" ht="15.75" customHeight="1" x14ac:dyDescent="0.25">
      <c r="A13" s="19">
        <f t="shared" si="0"/>
        <v>12</v>
      </c>
      <c r="B13" s="98" t="s">
        <v>28</v>
      </c>
      <c r="C13" s="54" t="s">
        <v>29</v>
      </c>
      <c r="D13" s="54" t="s">
        <v>56</v>
      </c>
      <c r="E13" s="8" t="s">
        <v>36</v>
      </c>
      <c r="F13" s="50"/>
      <c r="G13" s="34"/>
      <c r="H13" s="35" t="s">
        <v>45</v>
      </c>
      <c r="I13" s="2"/>
      <c r="J13" s="7"/>
      <c r="K13" s="7" t="s">
        <v>67</v>
      </c>
    </row>
    <row r="14" spans="1:11" s="65" customFormat="1" ht="15.75" customHeight="1" x14ac:dyDescent="0.25">
      <c r="A14" s="19">
        <f t="shared" si="0"/>
        <v>13</v>
      </c>
      <c r="B14" s="99"/>
      <c r="C14" s="4"/>
      <c r="D14" s="28" t="s">
        <v>37</v>
      </c>
      <c r="E14" s="28" t="s">
        <v>38</v>
      </c>
      <c r="F14" s="29"/>
      <c r="G14" s="30"/>
      <c r="H14" s="30"/>
      <c r="I14" s="30"/>
      <c r="J14" s="7"/>
      <c r="K14" s="7" t="s">
        <v>120</v>
      </c>
    </row>
    <row r="15" spans="1:11" s="65" customFormat="1" ht="15.75" customHeight="1" x14ac:dyDescent="0.25">
      <c r="A15" s="19">
        <f t="shared" si="0"/>
        <v>14</v>
      </c>
      <c r="B15" s="99"/>
      <c r="C15" s="4"/>
      <c r="D15" s="28" t="s">
        <v>41</v>
      </c>
      <c r="E15" s="33" t="s">
        <v>27</v>
      </c>
      <c r="F15" s="31"/>
      <c r="G15" s="32"/>
      <c r="H15" s="30"/>
      <c r="I15" s="30" t="s">
        <v>42</v>
      </c>
      <c r="J15" s="7"/>
      <c r="K15" s="26" t="s">
        <v>66</v>
      </c>
    </row>
    <row r="16" spans="1:11" s="65" customFormat="1" ht="15.75" customHeight="1" x14ac:dyDescent="0.25">
      <c r="A16" s="19">
        <f t="shared" si="0"/>
        <v>15</v>
      </c>
      <c r="B16" s="99"/>
      <c r="C16" s="27" t="s">
        <v>43</v>
      </c>
      <c r="D16" s="28" t="s">
        <v>44</v>
      </c>
      <c r="E16" s="28" t="s">
        <v>32</v>
      </c>
      <c r="F16" s="29"/>
      <c r="G16" s="30"/>
      <c r="H16" s="30"/>
      <c r="I16" s="7"/>
      <c r="J16" s="7"/>
      <c r="K16" s="7"/>
    </row>
    <row r="17" spans="1:11" s="65" customFormat="1" ht="15.75" customHeight="1" x14ac:dyDescent="0.25">
      <c r="A17" s="19">
        <f t="shared" si="0"/>
        <v>16</v>
      </c>
      <c r="B17" s="44" t="s">
        <v>132</v>
      </c>
      <c r="C17" s="45" t="s">
        <v>133</v>
      </c>
      <c r="D17" s="45" t="s">
        <v>124</v>
      </c>
      <c r="E17" s="45" t="s">
        <v>125</v>
      </c>
      <c r="F17" s="56"/>
      <c r="G17" s="45"/>
      <c r="H17" s="45"/>
      <c r="I17" s="30"/>
      <c r="J17" s="45"/>
      <c r="K17" s="53" t="s">
        <v>681</v>
      </c>
    </row>
    <row r="18" spans="1:11" s="65" customFormat="1" ht="15.75" customHeight="1" x14ac:dyDescent="0.25">
      <c r="A18" s="19">
        <f t="shared" si="0"/>
        <v>17</v>
      </c>
      <c r="B18" s="44" t="s">
        <v>132</v>
      </c>
      <c r="C18" s="45" t="s">
        <v>133</v>
      </c>
      <c r="D18" s="45" t="s">
        <v>126</v>
      </c>
      <c r="E18" s="45" t="s">
        <v>127</v>
      </c>
      <c r="F18" s="56"/>
      <c r="G18" s="45"/>
      <c r="H18" s="45"/>
      <c r="I18" s="30"/>
      <c r="J18" s="45"/>
      <c r="K18" s="53" t="s">
        <v>681</v>
      </c>
    </row>
    <row r="19" spans="1:11" ht="15.75" x14ac:dyDescent="0.25">
      <c r="A19" s="19">
        <f t="shared" si="0"/>
        <v>18</v>
      </c>
      <c r="B19" s="44" t="s">
        <v>132</v>
      </c>
      <c r="C19" s="45" t="s">
        <v>133</v>
      </c>
      <c r="D19" s="45" t="s">
        <v>128</v>
      </c>
      <c r="E19" s="45" t="s">
        <v>129</v>
      </c>
      <c r="F19" s="56"/>
      <c r="G19" s="45"/>
      <c r="H19" s="45"/>
      <c r="I19" s="30"/>
      <c r="J19" s="45"/>
      <c r="K19" s="53" t="s">
        <v>681</v>
      </c>
    </row>
    <row r="20" spans="1:11" ht="15.75" x14ac:dyDescent="0.25">
      <c r="A20" s="19">
        <f t="shared" si="0"/>
        <v>19</v>
      </c>
      <c r="B20" s="44" t="s">
        <v>132</v>
      </c>
      <c r="C20" s="45" t="s">
        <v>133</v>
      </c>
      <c r="D20" s="45" t="s">
        <v>130</v>
      </c>
      <c r="E20" s="45" t="s">
        <v>131</v>
      </c>
      <c r="F20" s="56"/>
      <c r="G20" s="45"/>
      <c r="H20" s="45"/>
      <c r="I20" s="30"/>
      <c r="J20" s="45"/>
      <c r="K20" s="53" t="s">
        <v>681</v>
      </c>
    </row>
    <row r="21" spans="1:11" s="73" customFormat="1" ht="15.75" x14ac:dyDescent="0.25">
      <c r="A21" s="19">
        <f t="shared" si="0"/>
        <v>20</v>
      </c>
      <c r="B21" s="98" t="s">
        <v>64</v>
      </c>
      <c r="C21" s="27" t="s">
        <v>224</v>
      </c>
      <c r="D21" s="28" t="s">
        <v>65</v>
      </c>
      <c r="E21" s="28" t="s">
        <v>39</v>
      </c>
      <c r="F21" s="52"/>
      <c r="G21" s="29"/>
      <c r="H21" s="30"/>
      <c r="I21" s="30"/>
      <c r="J21" s="7"/>
      <c r="K21" s="7" t="s">
        <v>223</v>
      </c>
    </row>
    <row r="22" spans="1:11" s="73" customFormat="1" ht="15.75" x14ac:dyDescent="0.25">
      <c r="A22" s="19">
        <f t="shared" si="0"/>
        <v>21</v>
      </c>
      <c r="B22" s="98" t="s">
        <v>11</v>
      </c>
      <c r="C22" s="55" t="s">
        <v>107</v>
      </c>
      <c r="D22" s="106" t="s">
        <v>229</v>
      </c>
      <c r="E22" s="106" t="s">
        <v>15</v>
      </c>
      <c r="F22" s="51"/>
      <c r="G22" s="34"/>
      <c r="H22" s="35"/>
      <c r="I22" s="2"/>
      <c r="J22" s="7"/>
      <c r="K22" s="7" t="s">
        <v>365</v>
      </c>
    </row>
    <row r="23" spans="1:11" ht="15.75" x14ac:dyDescent="0.25">
      <c r="A23" s="19">
        <f t="shared" si="0"/>
        <v>22</v>
      </c>
      <c r="B23" s="44" t="s">
        <v>119</v>
      </c>
      <c r="C23" s="45" t="s">
        <v>107</v>
      </c>
      <c r="D23" s="53" t="s">
        <v>117</v>
      </c>
      <c r="E23" s="53" t="s">
        <v>118</v>
      </c>
      <c r="F23" s="56"/>
      <c r="G23" s="45"/>
      <c r="H23" s="63"/>
      <c r="I23" s="45"/>
      <c r="J23" s="45"/>
      <c r="K23" s="45" t="s">
        <v>366</v>
      </c>
    </row>
    <row r="24" spans="1:11" s="65" customFormat="1" ht="15.75" customHeight="1" x14ac:dyDescent="0.25">
      <c r="A24" s="19">
        <f t="shared" si="0"/>
        <v>23</v>
      </c>
      <c r="B24" s="24" t="s">
        <v>34</v>
      </c>
      <c r="C24" s="45" t="s">
        <v>107</v>
      </c>
      <c r="D24" s="53" t="s">
        <v>134</v>
      </c>
      <c r="E24" s="53" t="s">
        <v>38</v>
      </c>
      <c r="F24" s="56"/>
      <c r="G24" s="45"/>
      <c r="H24" s="45"/>
      <c r="I24" s="30" t="s">
        <v>42</v>
      </c>
      <c r="J24" s="45"/>
      <c r="K24" s="45" t="s">
        <v>138</v>
      </c>
    </row>
    <row r="25" spans="1:11" s="65" customFormat="1" ht="15.75" customHeight="1" x14ac:dyDescent="0.25">
      <c r="A25" s="19">
        <f t="shared" ref="A25:A56" si="1">ROW()-1</f>
        <v>24</v>
      </c>
      <c r="B25" s="24" t="s">
        <v>34</v>
      </c>
      <c r="C25" s="45" t="s">
        <v>107</v>
      </c>
      <c r="D25" s="55" t="s">
        <v>135</v>
      </c>
      <c r="E25" s="55" t="s">
        <v>38</v>
      </c>
      <c r="F25" s="62" t="s">
        <v>108</v>
      </c>
      <c r="G25" s="46">
        <v>2</v>
      </c>
      <c r="H25" s="80">
        <v>45882</v>
      </c>
      <c r="I25" s="30" t="s">
        <v>42</v>
      </c>
      <c r="J25" s="45"/>
      <c r="K25" s="45" t="s">
        <v>138</v>
      </c>
    </row>
    <row r="26" spans="1:11" s="65" customFormat="1" ht="15.75" customHeight="1" x14ac:dyDescent="0.25">
      <c r="A26" s="19">
        <f t="shared" si="1"/>
        <v>25</v>
      </c>
      <c r="B26" s="98" t="s">
        <v>11</v>
      </c>
      <c r="C26" s="55" t="s">
        <v>107</v>
      </c>
      <c r="D26" s="106" t="s">
        <v>47</v>
      </c>
      <c r="E26" s="106" t="s">
        <v>15</v>
      </c>
      <c r="F26" s="50"/>
      <c r="G26" s="34"/>
      <c r="H26" s="35"/>
      <c r="I26" s="2"/>
      <c r="J26" s="7"/>
      <c r="K26" s="7" t="s">
        <v>68</v>
      </c>
    </row>
    <row r="27" spans="1:11" s="65" customFormat="1" ht="15.75" x14ac:dyDescent="0.25">
      <c r="A27" s="19">
        <f t="shared" si="1"/>
        <v>26</v>
      </c>
      <c r="B27" s="98" t="s">
        <v>11</v>
      </c>
      <c r="C27" s="55" t="s">
        <v>107</v>
      </c>
      <c r="D27" s="107" t="s">
        <v>49</v>
      </c>
      <c r="E27" s="107" t="s">
        <v>36</v>
      </c>
      <c r="F27" s="52"/>
      <c r="G27" s="29"/>
      <c r="H27" s="37"/>
      <c r="I27" s="30"/>
      <c r="J27" s="7"/>
      <c r="K27" s="7" t="s">
        <v>111</v>
      </c>
    </row>
    <row r="28" spans="1:11" s="65" customFormat="1" ht="15.75" x14ac:dyDescent="0.25">
      <c r="A28" s="19">
        <f t="shared" si="1"/>
        <v>27</v>
      </c>
      <c r="B28" s="98" t="s">
        <v>30</v>
      </c>
      <c r="C28" s="55" t="s">
        <v>107</v>
      </c>
      <c r="D28" s="106" t="s">
        <v>60</v>
      </c>
      <c r="E28" s="108" t="s">
        <v>61</v>
      </c>
      <c r="F28" s="46"/>
      <c r="G28" s="46"/>
      <c r="H28" s="60"/>
      <c r="I28" s="45"/>
      <c r="J28" s="7"/>
      <c r="K28" s="7" t="s">
        <v>19</v>
      </c>
    </row>
    <row r="29" spans="1:11" s="65" customFormat="1" ht="15.75" x14ac:dyDescent="0.25">
      <c r="A29" s="19">
        <f t="shared" si="1"/>
        <v>28</v>
      </c>
      <c r="B29" s="98" t="s">
        <v>62</v>
      </c>
      <c r="C29" s="55" t="s">
        <v>107</v>
      </c>
      <c r="D29" s="106" t="s">
        <v>63</v>
      </c>
      <c r="E29" s="106" t="s">
        <v>46</v>
      </c>
      <c r="F29" s="52"/>
      <c r="G29" s="29"/>
      <c r="H29" s="30"/>
      <c r="I29" s="30"/>
      <c r="J29" s="7"/>
      <c r="K29" s="7"/>
    </row>
    <row r="30" spans="1:11" s="65" customFormat="1" ht="15.75" x14ac:dyDescent="0.25">
      <c r="A30" s="19">
        <f t="shared" si="1"/>
        <v>29</v>
      </c>
      <c r="B30" s="105" t="s">
        <v>114</v>
      </c>
      <c r="C30" s="55" t="s">
        <v>107</v>
      </c>
      <c r="D30" s="45" t="s">
        <v>113</v>
      </c>
      <c r="E30" s="45" t="s">
        <v>112</v>
      </c>
      <c r="F30" s="62" t="s">
        <v>108</v>
      </c>
      <c r="G30" s="46">
        <v>2</v>
      </c>
      <c r="H30" s="80">
        <v>45870</v>
      </c>
      <c r="I30" s="45" t="s">
        <v>562</v>
      </c>
      <c r="J30" s="45"/>
      <c r="K30" s="45"/>
    </row>
    <row r="31" spans="1:11" s="65" customFormat="1" ht="15.75" x14ac:dyDescent="0.25">
      <c r="A31" s="19">
        <f t="shared" si="1"/>
        <v>30</v>
      </c>
      <c r="B31" s="44" t="s">
        <v>100</v>
      </c>
      <c r="C31" s="55" t="s">
        <v>107</v>
      </c>
      <c r="D31" s="53" t="s">
        <v>99</v>
      </c>
      <c r="E31" s="53" t="s">
        <v>70</v>
      </c>
      <c r="F31" s="46"/>
      <c r="G31" s="46"/>
      <c r="H31" s="47"/>
      <c r="I31" s="45"/>
      <c r="J31" s="45"/>
      <c r="K31" s="45" t="s">
        <v>101</v>
      </c>
    </row>
    <row r="32" spans="1:11" s="65" customFormat="1" ht="15.75" x14ac:dyDescent="0.25">
      <c r="A32" s="19">
        <f t="shared" si="1"/>
        <v>31</v>
      </c>
      <c r="B32" s="44" t="s">
        <v>34</v>
      </c>
      <c r="C32" s="45" t="s">
        <v>107</v>
      </c>
      <c r="D32" s="53" t="s">
        <v>159</v>
      </c>
      <c r="E32" s="53" t="s">
        <v>160</v>
      </c>
      <c r="F32" s="56"/>
      <c r="G32" s="45"/>
      <c r="H32" s="45"/>
      <c r="I32" s="45"/>
      <c r="J32" s="45"/>
      <c r="K32" s="45" t="s">
        <v>164</v>
      </c>
    </row>
    <row r="33" spans="1:11" s="65" customFormat="1" ht="15.75" x14ac:dyDescent="0.25">
      <c r="A33" s="19">
        <f t="shared" si="1"/>
        <v>32</v>
      </c>
      <c r="B33" s="44" t="s">
        <v>34</v>
      </c>
      <c r="C33" s="45" t="s">
        <v>107</v>
      </c>
      <c r="D33" s="53" t="s">
        <v>161</v>
      </c>
      <c r="E33" s="53" t="s">
        <v>160</v>
      </c>
      <c r="F33" s="56"/>
      <c r="G33" s="45"/>
      <c r="H33" s="45"/>
      <c r="I33" s="45"/>
      <c r="J33" s="45"/>
      <c r="K33" s="45" t="s">
        <v>164</v>
      </c>
    </row>
    <row r="34" spans="1:11" s="65" customFormat="1" ht="15.75" x14ac:dyDescent="0.25">
      <c r="A34" s="19">
        <f t="shared" si="1"/>
        <v>33</v>
      </c>
      <c r="B34" s="44" t="s">
        <v>34</v>
      </c>
      <c r="C34" s="45" t="s">
        <v>107</v>
      </c>
      <c r="D34" s="53" t="s">
        <v>162</v>
      </c>
      <c r="E34" s="53" t="s">
        <v>160</v>
      </c>
      <c r="F34" s="56"/>
      <c r="G34" s="45"/>
      <c r="H34" s="45"/>
      <c r="I34" s="45"/>
      <c r="J34" s="45"/>
      <c r="K34" s="45" t="s">
        <v>164</v>
      </c>
    </row>
    <row r="35" spans="1:11" ht="15.75" x14ac:dyDescent="0.25">
      <c r="A35" s="19">
        <f t="shared" si="1"/>
        <v>34</v>
      </c>
      <c r="B35" s="44" t="s">
        <v>34</v>
      </c>
      <c r="C35" s="45" t="s">
        <v>107</v>
      </c>
      <c r="D35" s="53" t="s">
        <v>163</v>
      </c>
      <c r="E35" s="53" t="s">
        <v>160</v>
      </c>
      <c r="F35" s="56"/>
      <c r="G35" s="45"/>
      <c r="H35" s="45"/>
      <c r="I35" s="45"/>
      <c r="J35" s="45"/>
      <c r="K35" s="45" t="s">
        <v>164</v>
      </c>
    </row>
    <row r="36" spans="1:11" ht="15.75" x14ac:dyDescent="0.25">
      <c r="A36" s="19">
        <f t="shared" si="1"/>
        <v>35</v>
      </c>
      <c r="B36" s="44" t="s">
        <v>34</v>
      </c>
      <c r="C36" s="45" t="s">
        <v>107</v>
      </c>
      <c r="D36" s="53" t="s">
        <v>167</v>
      </c>
      <c r="E36" s="53" t="s">
        <v>168</v>
      </c>
      <c r="F36" s="56"/>
      <c r="G36" s="45"/>
      <c r="H36" s="45"/>
      <c r="I36" s="45"/>
      <c r="J36" s="45" t="s">
        <v>26</v>
      </c>
      <c r="K36" s="45" t="s">
        <v>155</v>
      </c>
    </row>
    <row r="37" spans="1:11" ht="15.75" x14ac:dyDescent="0.25">
      <c r="A37" s="19">
        <f t="shared" si="1"/>
        <v>36</v>
      </c>
      <c r="B37" s="44" t="s">
        <v>34</v>
      </c>
      <c r="C37" s="45" t="s">
        <v>107</v>
      </c>
      <c r="D37" s="53" t="s">
        <v>169</v>
      </c>
      <c r="E37" s="53" t="s">
        <v>38</v>
      </c>
      <c r="F37" s="56"/>
      <c r="G37" s="45"/>
      <c r="H37" s="45"/>
      <c r="I37" s="45"/>
      <c r="J37" s="45" t="s">
        <v>26</v>
      </c>
      <c r="K37" s="45" t="s">
        <v>155</v>
      </c>
    </row>
    <row r="38" spans="1:11" ht="15.75" x14ac:dyDescent="0.25">
      <c r="A38" s="19">
        <f t="shared" si="1"/>
        <v>37</v>
      </c>
      <c r="B38" s="44" t="s">
        <v>34</v>
      </c>
      <c r="C38" s="45" t="s">
        <v>107</v>
      </c>
      <c r="D38" s="53" t="s">
        <v>170</v>
      </c>
      <c r="E38" s="53" t="s">
        <v>171</v>
      </c>
      <c r="F38" s="56"/>
      <c r="G38" s="45"/>
      <c r="H38" s="45"/>
      <c r="I38" s="45"/>
      <c r="J38" s="45" t="s">
        <v>26</v>
      </c>
      <c r="K38" s="45" t="s">
        <v>155</v>
      </c>
    </row>
    <row r="39" spans="1:11" ht="15.75" x14ac:dyDescent="0.25">
      <c r="A39" s="19">
        <f t="shared" si="1"/>
        <v>38</v>
      </c>
      <c r="B39" s="44" t="s">
        <v>34</v>
      </c>
      <c r="C39" s="45" t="s">
        <v>107</v>
      </c>
      <c r="D39" s="53" t="s">
        <v>172</v>
      </c>
      <c r="E39" s="53" t="s">
        <v>70</v>
      </c>
      <c r="F39" s="56"/>
      <c r="G39" s="45"/>
      <c r="H39" s="45"/>
      <c r="I39" s="45" t="s">
        <v>40</v>
      </c>
      <c r="J39" s="45" t="s">
        <v>26</v>
      </c>
      <c r="K39" s="45" t="s">
        <v>155</v>
      </c>
    </row>
    <row r="40" spans="1:11" s="65" customFormat="1" ht="15.75" x14ac:dyDescent="0.25">
      <c r="A40" s="19">
        <f t="shared" si="1"/>
        <v>39</v>
      </c>
      <c r="B40" s="44" t="s">
        <v>34</v>
      </c>
      <c r="C40" s="45" t="s">
        <v>107</v>
      </c>
      <c r="D40" s="53" t="s">
        <v>173</v>
      </c>
      <c r="E40" s="53" t="s">
        <v>151</v>
      </c>
      <c r="F40" s="56"/>
      <c r="G40" s="45"/>
      <c r="H40" s="45"/>
      <c r="I40" s="45"/>
      <c r="J40" s="45" t="s">
        <v>26</v>
      </c>
      <c r="K40" s="45" t="s">
        <v>155</v>
      </c>
    </row>
    <row r="41" spans="1:11" s="65" customFormat="1" ht="15.75" x14ac:dyDescent="0.25">
      <c r="A41" s="19">
        <f t="shared" si="1"/>
        <v>40</v>
      </c>
      <c r="B41" s="44" t="s">
        <v>34</v>
      </c>
      <c r="C41" s="45" t="s">
        <v>107</v>
      </c>
      <c r="D41" s="53" t="s">
        <v>174</v>
      </c>
      <c r="E41" s="53" t="s">
        <v>32</v>
      </c>
      <c r="F41" s="56"/>
      <c r="G41" s="45"/>
      <c r="H41" s="96"/>
      <c r="I41" s="45"/>
      <c r="J41" s="45" t="s">
        <v>26</v>
      </c>
      <c r="K41" s="45" t="s">
        <v>155</v>
      </c>
    </row>
    <row r="42" spans="1:11" s="65" customFormat="1" ht="15.75" x14ac:dyDescent="0.25">
      <c r="A42" s="19">
        <f t="shared" si="1"/>
        <v>41</v>
      </c>
      <c r="B42" s="44" t="s">
        <v>34</v>
      </c>
      <c r="C42" s="45" t="s">
        <v>107</v>
      </c>
      <c r="D42" s="53" t="s">
        <v>175</v>
      </c>
      <c r="E42" s="53" t="s">
        <v>86</v>
      </c>
      <c r="F42" s="56"/>
      <c r="G42" s="45"/>
      <c r="H42" s="45"/>
      <c r="I42" s="45"/>
      <c r="J42" s="45" t="s">
        <v>26</v>
      </c>
      <c r="K42" s="45" t="s">
        <v>155</v>
      </c>
    </row>
    <row r="43" spans="1:11" s="65" customFormat="1" ht="15.75" x14ac:dyDescent="0.25">
      <c r="A43" s="19">
        <f t="shared" si="1"/>
        <v>42</v>
      </c>
      <c r="B43" s="58" t="s">
        <v>34</v>
      </c>
      <c r="C43" s="45" t="s">
        <v>107</v>
      </c>
      <c r="D43" s="45" t="s">
        <v>176</v>
      </c>
      <c r="E43" s="45" t="s">
        <v>177</v>
      </c>
      <c r="F43" s="62" t="s">
        <v>108</v>
      </c>
      <c r="G43" s="46">
        <v>1</v>
      </c>
      <c r="H43" s="80">
        <v>45877</v>
      </c>
      <c r="I43" s="45" t="s">
        <v>40</v>
      </c>
      <c r="J43" s="45" t="s">
        <v>26</v>
      </c>
      <c r="K43" s="45" t="s">
        <v>155</v>
      </c>
    </row>
    <row r="44" spans="1:11" s="65" customFormat="1" ht="15.75" x14ac:dyDescent="0.25">
      <c r="A44" s="19">
        <f t="shared" si="1"/>
        <v>43</v>
      </c>
      <c r="B44" s="44" t="s">
        <v>34</v>
      </c>
      <c r="C44" s="45" t="s">
        <v>107</v>
      </c>
      <c r="D44" s="53" t="s">
        <v>199</v>
      </c>
      <c r="E44" s="53" t="s">
        <v>59</v>
      </c>
      <c r="F44" s="56"/>
      <c r="G44" s="45"/>
      <c r="H44" s="45"/>
      <c r="I44" s="45"/>
      <c r="J44" s="45" t="s">
        <v>26</v>
      </c>
      <c r="K44" s="45" t="s">
        <v>155</v>
      </c>
    </row>
    <row r="45" spans="1:11" s="65" customFormat="1" ht="15.75" x14ac:dyDescent="0.25">
      <c r="A45" s="19">
        <f t="shared" si="1"/>
        <v>44</v>
      </c>
      <c r="B45" s="44" t="s">
        <v>34</v>
      </c>
      <c r="C45" s="45" t="s">
        <v>107</v>
      </c>
      <c r="D45" s="53" t="s">
        <v>200</v>
      </c>
      <c r="E45" s="53" t="s">
        <v>36</v>
      </c>
      <c r="F45" s="56"/>
      <c r="G45" s="45"/>
      <c r="H45" s="45"/>
      <c r="I45" s="45"/>
      <c r="J45" s="45" t="s">
        <v>26</v>
      </c>
      <c r="K45" s="45" t="s">
        <v>155</v>
      </c>
    </row>
    <row r="46" spans="1:11" ht="15.75" x14ac:dyDescent="0.25">
      <c r="A46" s="19">
        <f t="shared" si="1"/>
        <v>45</v>
      </c>
      <c r="B46" s="44" t="s">
        <v>34</v>
      </c>
      <c r="C46" s="45" t="s">
        <v>107</v>
      </c>
      <c r="D46" s="53" t="s">
        <v>201</v>
      </c>
      <c r="E46" s="53" t="s">
        <v>150</v>
      </c>
      <c r="F46" s="56"/>
      <c r="G46" s="45"/>
      <c r="H46" s="45"/>
      <c r="I46" s="45"/>
      <c r="J46" s="45" t="s">
        <v>26</v>
      </c>
      <c r="K46" s="45" t="s">
        <v>155</v>
      </c>
    </row>
    <row r="47" spans="1:11" ht="15.75" x14ac:dyDescent="0.25">
      <c r="A47" s="19">
        <f t="shared" si="1"/>
        <v>46</v>
      </c>
      <c r="B47" s="58" t="s">
        <v>34</v>
      </c>
      <c r="C47" s="45" t="s">
        <v>107</v>
      </c>
      <c r="D47" s="45" t="s">
        <v>294</v>
      </c>
      <c r="E47" s="45" t="s">
        <v>39</v>
      </c>
      <c r="F47" s="62" t="s">
        <v>108</v>
      </c>
      <c r="G47" s="46">
        <v>2</v>
      </c>
      <c r="H47" s="80">
        <v>45881</v>
      </c>
      <c r="I47" s="45" t="s">
        <v>40</v>
      </c>
      <c r="J47" s="45" t="s">
        <v>26</v>
      </c>
      <c r="K47" s="45" t="s">
        <v>155</v>
      </c>
    </row>
    <row r="48" spans="1:11" ht="15.75" x14ac:dyDescent="0.25">
      <c r="A48" s="19">
        <f t="shared" si="1"/>
        <v>47</v>
      </c>
      <c r="B48" s="58" t="s">
        <v>227</v>
      </c>
      <c r="C48" s="45" t="s">
        <v>107</v>
      </c>
      <c r="D48" s="45" t="s">
        <v>295</v>
      </c>
      <c r="E48" s="45" t="s">
        <v>27</v>
      </c>
      <c r="F48" s="62" t="s">
        <v>12</v>
      </c>
      <c r="G48" s="46">
        <v>0</v>
      </c>
      <c r="H48" s="60">
        <v>45881</v>
      </c>
      <c r="I48" s="45" t="s">
        <v>40</v>
      </c>
      <c r="J48" s="45" t="s">
        <v>26</v>
      </c>
      <c r="K48" s="45" t="s">
        <v>296</v>
      </c>
    </row>
    <row r="49" spans="1:11" ht="15.75" x14ac:dyDescent="0.25">
      <c r="A49" s="19">
        <f t="shared" si="1"/>
        <v>48</v>
      </c>
      <c r="B49" s="44" t="s">
        <v>166</v>
      </c>
      <c r="C49" s="45" t="s">
        <v>107</v>
      </c>
      <c r="D49" s="53" t="s">
        <v>178</v>
      </c>
      <c r="E49" s="53" t="s">
        <v>38</v>
      </c>
      <c r="F49" s="56"/>
      <c r="G49" s="45"/>
      <c r="H49" s="45"/>
      <c r="I49" s="45"/>
      <c r="J49" s="45" t="s">
        <v>26</v>
      </c>
      <c r="K49" s="45" t="s">
        <v>183</v>
      </c>
    </row>
    <row r="50" spans="1:11" ht="15.75" x14ac:dyDescent="0.25">
      <c r="A50" s="19">
        <f t="shared" si="1"/>
        <v>49</v>
      </c>
      <c r="B50" s="44" t="s">
        <v>165</v>
      </c>
      <c r="C50" s="45" t="s">
        <v>107</v>
      </c>
      <c r="D50" s="53" t="s">
        <v>179</v>
      </c>
      <c r="E50" s="53" t="s">
        <v>149</v>
      </c>
      <c r="F50" s="56"/>
      <c r="G50" s="45"/>
      <c r="H50" s="45"/>
      <c r="I50" s="45"/>
      <c r="J50" s="45" t="s">
        <v>26</v>
      </c>
      <c r="K50" s="45" t="s">
        <v>291</v>
      </c>
    </row>
    <row r="51" spans="1:11" ht="15.75" x14ac:dyDescent="0.25">
      <c r="A51" s="19">
        <f t="shared" si="1"/>
        <v>50</v>
      </c>
      <c r="B51" s="44" t="s">
        <v>165</v>
      </c>
      <c r="C51" s="45" t="s">
        <v>107</v>
      </c>
      <c r="D51" s="53" t="s">
        <v>180</v>
      </c>
      <c r="E51" s="53" t="s">
        <v>38</v>
      </c>
      <c r="F51" s="56"/>
      <c r="G51" s="45"/>
      <c r="H51" s="45"/>
      <c r="I51" s="45" t="s">
        <v>42</v>
      </c>
      <c r="J51" s="45" t="s">
        <v>26</v>
      </c>
      <c r="K51" s="45" t="s">
        <v>198</v>
      </c>
    </row>
    <row r="52" spans="1:11" ht="15.75" x14ac:dyDescent="0.25">
      <c r="A52" s="19">
        <f t="shared" si="1"/>
        <v>51</v>
      </c>
      <c r="B52" s="44" t="s">
        <v>165</v>
      </c>
      <c r="C52" s="45" t="s">
        <v>107</v>
      </c>
      <c r="D52" s="53" t="s">
        <v>181</v>
      </c>
      <c r="E52" s="53" t="s">
        <v>38</v>
      </c>
      <c r="F52" s="56"/>
      <c r="G52" s="45"/>
      <c r="H52" s="45"/>
      <c r="I52" s="45"/>
      <c r="J52" s="45" t="s">
        <v>26</v>
      </c>
      <c r="K52" s="45" t="s">
        <v>191</v>
      </c>
    </row>
    <row r="53" spans="1:11" ht="15.75" x14ac:dyDescent="0.25">
      <c r="A53" s="19">
        <f t="shared" si="1"/>
        <v>52</v>
      </c>
      <c r="B53" s="44" t="s">
        <v>165</v>
      </c>
      <c r="C53" s="45" t="s">
        <v>107</v>
      </c>
      <c r="D53" s="53" t="s">
        <v>182</v>
      </c>
      <c r="E53" s="53" t="s">
        <v>38</v>
      </c>
      <c r="F53" s="56"/>
      <c r="G53" s="45"/>
      <c r="H53" s="45"/>
      <c r="I53" s="45"/>
      <c r="J53" s="45" t="s">
        <v>26</v>
      </c>
      <c r="K53" s="45" t="s">
        <v>192</v>
      </c>
    </row>
    <row r="54" spans="1:11" ht="15.75" x14ac:dyDescent="0.25">
      <c r="A54" s="19">
        <f t="shared" si="1"/>
        <v>53</v>
      </c>
      <c r="B54" s="44" t="s">
        <v>187</v>
      </c>
      <c r="C54" s="45" t="s">
        <v>107</v>
      </c>
      <c r="D54" s="53" t="s">
        <v>184</v>
      </c>
      <c r="E54" s="53" t="s">
        <v>48</v>
      </c>
      <c r="F54" s="56"/>
      <c r="G54" s="45"/>
      <c r="H54" s="45"/>
      <c r="I54" s="53" t="s">
        <v>42</v>
      </c>
      <c r="J54" s="45" t="s">
        <v>26</v>
      </c>
      <c r="K54" s="45" t="s">
        <v>193</v>
      </c>
    </row>
    <row r="55" spans="1:11" ht="15.75" x14ac:dyDescent="0.25">
      <c r="A55" s="19">
        <f t="shared" si="1"/>
        <v>54</v>
      </c>
      <c r="B55" s="44" t="s">
        <v>165</v>
      </c>
      <c r="C55" s="45" t="s">
        <v>107</v>
      </c>
      <c r="D55" s="53" t="s">
        <v>185</v>
      </c>
      <c r="E55" s="53" t="s">
        <v>70</v>
      </c>
      <c r="F55" s="56"/>
      <c r="G55" s="45"/>
      <c r="H55" s="45"/>
      <c r="I55" s="45"/>
      <c r="J55" s="45" t="s">
        <v>26</v>
      </c>
      <c r="K55" s="45" t="s">
        <v>194</v>
      </c>
    </row>
    <row r="56" spans="1:11" ht="15.75" x14ac:dyDescent="0.25">
      <c r="A56" s="19">
        <f t="shared" si="1"/>
        <v>55</v>
      </c>
      <c r="B56" s="44" t="s">
        <v>188</v>
      </c>
      <c r="C56" s="45" t="s">
        <v>107</v>
      </c>
      <c r="D56" s="53" t="s">
        <v>186</v>
      </c>
      <c r="E56" s="53" t="s">
        <v>38</v>
      </c>
      <c r="F56" s="56"/>
      <c r="G56" s="45"/>
      <c r="H56" s="45"/>
      <c r="I56" s="45" t="s">
        <v>40</v>
      </c>
      <c r="J56" s="45" t="s">
        <v>26</v>
      </c>
      <c r="K56" s="45" t="s">
        <v>195</v>
      </c>
    </row>
    <row r="57" spans="1:11" ht="15.75" x14ac:dyDescent="0.25">
      <c r="A57" s="19">
        <f t="shared" ref="A57:A91" si="2">ROW()-1</f>
        <v>56</v>
      </c>
      <c r="B57" s="44" t="s">
        <v>187</v>
      </c>
      <c r="C57" s="45" t="s">
        <v>107</v>
      </c>
      <c r="D57" s="53" t="s">
        <v>189</v>
      </c>
      <c r="E57" s="53" t="s">
        <v>38</v>
      </c>
      <c r="F57" s="56"/>
      <c r="G57" s="45"/>
      <c r="H57" s="45"/>
      <c r="I57" s="45"/>
      <c r="J57" s="45" t="s">
        <v>26</v>
      </c>
      <c r="K57" s="45" t="s">
        <v>196</v>
      </c>
    </row>
    <row r="58" spans="1:11" ht="15.75" x14ac:dyDescent="0.25">
      <c r="A58" s="19">
        <f t="shared" si="2"/>
        <v>57</v>
      </c>
      <c r="B58" s="44" t="s">
        <v>166</v>
      </c>
      <c r="C58" s="45" t="s">
        <v>107</v>
      </c>
      <c r="D58" s="53" t="s">
        <v>190</v>
      </c>
      <c r="E58" s="53" t="s">
        <v>35</v>
      </c>
      <c r="F58" s="56"/>
      <c r="G58" s="45"/>
      <c r="H58" s="45"/>
      <c r="I58" s="45"/>
      <c r="J58" s="45" t="s">
        <v>26</v>
      </c>
      <c r="K58" s="45" t="s">
        <v>197</v>
      </c>
    </row>
    <row r="59" spans="1:11" ht="15.75" x14ac:dyDescent="0.25">
      <c r="A59" s="19">
        <f t="shared" si="2"/>
        <v>58</v>
      </c>
      <c r="B59" s="44" t="s">
        <v>34</v>
      </c>
      <c r="C59" s="45" t="s">
        <v>107</v>
      </c>
      <c r="D59" s="53" t="s">
        <v>321</v>
      </c>
      <c r="E59" s="53" t="s">
        <v>36</v>
      </c>
      <c r="F59" s="56"/>
      <c r="G59" s="45"/>
      <c r="H59" s="45"/>
      <c r="I59" s="45" t="s">
        <v>40</v>
      </c>
      <c r="J59" s="45" t="s">
        <v>26</v>
      </c>
      <c r="K59" s="45" t="s">
        <v>155</v>
      </c>
    </row>
    <row r="60" spans="1:11" ht="15.75" x14ac:dyDescent="0.25">
      <c r="A60" s="19">
        <f t="shared" si="2"/>
        <v>59</v>
      </c>
      <c r="B60" s="44" t="s">
        <v>313</v>
      </c>
      <c r="C60" s="45" t="s">
        <v>107</v>
      </c>
      <c r="D60" s="53" t="s">
        <v>228</v>
      </c>
      <c r="E60" s="53" t="s">
        <v>15</v>
      </c>
      <c r="F60" s="56"/>
      <c r="G60" s="45"/>
      <c r="H60" s="45"/>
      <c r="I60" s="53" t="s">
        <v>42</v>
      </c>
      <c r="J60" s="45" t="s">
        <v>26</v>
      </c>
      <c r="K60" s="45" t="s">
        <v>323</v>
      </c>
    </row>
    <row r="61" spans="1:11" ht="15.75" x14ac:dyDescent="0.25">
      <c r="A61" s="19">
        <f t="shared" si="2"/>
        <v>60</v>
      </c>
      <c r="B61" s="44" t="s">
        <v>227</v>
      </c>
      <c r="C61" s="45" t="s">
        <v>107</v>
      </c>
      <c r="D61" s="53" t="s">
        <v>322</v>
      </c>
      <c r="E61" s="53" t="s">
        <v>38</v>
      </c>
      <c r="F61" s="56"/>
      <c r="G61" s="45"/>
      <c r="I61" s="45" t="s">
        <v>40</v>
      </c>
      <c r="J61" s="45" t="s">
        <v>26</v>
      </c>
      <c r="K61" s="45" t="s">
        <v>296</v>
      </c>
    </row>
    <row r="62" spans="1:11" ht="15.75" x14ac:dyDescent="0.25">
      <c r="A62" s="19">
        <f t="shared" si="2"/>
        <v>61</v>
      </c>
      <c r="B62" s="58" t="s">
        <v>527</v>
      </c>
      <c r="C62" s="45" t="s">
        <v>107</v>
      </c>
      <c r="D62" s="45" t="s">
        <v>525</v>
      </c>
      <c r="E62" s="45" t="s">
        <v>177</v>
      </c>
      <c r="F62" s="62" t="s">
        <v>12</v>
      </c>
      <c r="G62" s="46">
        <v>0</v>
      </c>
      <c r="H62" s="60">
        <v>45868</v>
      </c>
      <c r="I62" s="7" t="s">
        <v>234</v>
      </c>
      <c r="J62" s="45" t="s">
        <v>26</v>
      </c>
      <c r="K62" s="55"/>
    </row>
    <row r="63" spans="1:11" ht="15.75" x14ac:dyDescent="0.25">
      <c r="A63" s="19">
        <f t="shared" si="2"/>
        <v>62</v>
      </c>
      <c r="B63" s="72" t="s">
        <v>527</v>
      </c>
      <c r="C63" s="45" t="s">
        <v>107</v>
      </c>
      <c r="D63" s="53" t="s">
        <v>526</v>
      </c>
      <c r="E63" s="53" t="s">
        <v>38</v>
      </c>
      <c r="F63" s="97"/>
      <c r="G63" s="61"/>
      <c r="H63" s="70"/>
      <c r="I63" s="55"/>
      <c r="J63" s="45" t="s">
        <v>26</v>
      </c>
      <c r="K63" s="55"/>
    </row>
    <row r="64" spans="1:11" ht="15.75" x14ac:dyDescent="0.25">
      <c r="A64" s="19">
        <f t="shared" si="2"/>
        <v>63</v>
      </c>
      <c r="B64" s="44"/>
      <c r="C64" s="45"/>
      <c r="D64" s="45" t="s">
        <v>343</v>
      </c>
      <c r="E64" s="45" t="s">
        <v>344</v>
      </c>
      <c r="F64" s="56"/>
      <c r="G64" s="45"/>
      <c r="H64" s="45"/>
      <c r="I64" s="45" t="s">
        <v>42</v>
      </c>
      <c r="J64" s="45" t="s">
        <v>26</v>
      </c>
      <c r="K64" s="45" t="s">
        <v>342</v>
      </c>
    </row>
    <row r="65" spans="1:11" ht="15.75" x14ac:dyDescent="0.25">
      <c r="A65" s="19">
        <f t="shared" si="2"/>
        <v>64</v>
      </c>
      <c r="B65" s="44" t="s">
        <v>214</v>
      </c>
      <c r="C65" s="45"/>
      <c r="D65" s="45" t="s">
        <v>215</v>
      </c>
      <c r="E65" s="45" t="s">
        <v>216</v>
      </c>
      <c r="F65" s="56"/>
      <c r="G65" s="45"/>
      <c r="H65" s="45"/>
      <c r="I65" s="45"/>
      <c r="J65" s="45" t="s">
        <v>26</v>
      </c>
      <c r="K65" s="53" t="s">
        <v>679</v>
      </c>
    </row>
    <row r="66" spans="1:11" ht="15.75" x14ac:dyDescent="0.25">
      <c r="A66" s="19">
        <f t="shared" si="2"/>
        <v>65</v>
      </c>
      <c r="B66" s="44" t="s">
        <v>222</v>
      </c>
      <c r="C66" s="45"/>
      <c r="D66" s="45" t="s">
        <v>220</v>
      </c>
      <c r="E66" s="45" t="s">
        <v>23</v>
      </c>
      <c r="F66" s="56"/>
      <c r="G66" s="45"/>
      <c r="H66" s="45"/>
      <c r="I66" s="45"/>
      <c r="J66" s="45" t="s">
        <v>26</v>
      </c>
      <c r="K66" s="53" t="s">
        <v>680</v>
      </c>
    </row>
    <row r="67" spans="1:11" ht="15.75" x14ac:dyDescent="0.25">
      <c r="A67" s="19">
        <f t="shared" si="2"/>
        <v>66</v>
      </c>
      <c r="B67" s="44" t="s">
        <v>222</v>
      </c>
      <c r="C67" s="45"/>
      <c r="D67" s="45" t="s">
        <v>221</v>
      </c>
      <c r="E67" s="45" t="s">
        <v>142</v>
      </c>
      <c r="F67" s="56"/>
      <c r="G67" s="45"/>
      <c r="H67" s="45"/>
      <c r="I67" s="45"/>
      <c r="J67" s="45" t="s">
        <v>26</v>
      </c>
      <c r="K67" s="53" t="s">
        <v>680</v>
      </c>
    </row>
    <row r="68" spans="1:11" ht="15.75" x14ac:dyDescent="0.25">
      <c r="A68" s="19">
        <f t="shared" si="2"/>
        <v>67</v>
      </c>
      <c r="B68" s="58" t="s">
        <v>418</v>
      </c>
      <c r="C68" s="45" t="s">
        <v>419</v>
      </c>
      <c r="D68" s="55" t="s">
        <v>416</v>
      </c>
      <c r="E68" s="55" t="s">
        <v>59</v>
      </c>
      <c r="F68" s="62" t="s">
        <v>108</v>
      </c>
      <c r="G68" s="46">
        <v>2</v>
      </c>
      <c r="H68" s="80">
        <v>45863</v>
      </c>
      <c r="I68" s="45" t="s">
        <v>40</v>
      </c>
      <c r="J68" s="7" t="s">
        <v>33</v>
      </c>
      <c r="K68" s="45"/>
    </row>
    <row r="69" spans="1:11" ht="15.75" x14ac:dyDescent="0.25">
      <c r="A69" s="19">
        <f t="shared" si="2"/>
        <v>68</v>
      </c>
      <c r="B69" s="59"/>
      <c r="C69" s="45"/>
      <c r="D69" s="45" t="s">
        <v>493</v>
      </c>
      <c r="E69" s="45" t="s">
        <v>344</v>
      </c>
      <c r="F69" s="62" t="s">
        <v>108</v>
      </c>
      <c r="G69" s="46">
        <v>2</v>
      </c>
      <c r="H69" s="80">
        <v>45863</v>
      </c>
      <c r="I69" s="7" t="s">
        <v>234</v>
      </c>
      <c r="J69" s="45" t="s">
        <v>31</v>
      </c>
      <c r="K69" s="45" t="s">
        <v>494</v>
      </c>
    </row>
    <row r="70" spans="1:11" ht="15.75" x14ac:dyDescent="0.25">
      <c r="A70" s="19">
        <f t="shared" si="2"/>
        <v>69</v>
      </c>
      <c r="B70" s="58" t="s">
        <v>496</v>
      </c>
      <c r="C70" s="45" t="s">
        <v>497</v>
      </c>
      <c r="D70" s="55" t="s">
        <v>495</v>
      </c>
      <c r="E70" s="55" t="s">
        <v>38</v>
      </c>
      <c r="F70" s="62" t="s">
        <v>108</v>
      </c>
      <c r="G70" s="46">
        <v>1</v>
      </c>
      <c r="H70" s="80">
        <v>45867</v>
      </c>
      <c r="I70" s="7" t="s">
        <v>234</v>
      </c>
      <c r="J70" s="7" t="s">
        <v>33</v>
      </c>
      <c r="K70" s="45"/>
    </row>
    <row r="71" spans="1:11" ht="15.75" x14ac:dyDescent="0.25">
      <c r="A71" s="19">
        <f t="shared" si="2"/>
        <v>70</v>
      </c>
      <c r="B71" s="109"/>
      <c r="C71" s="45" t="s">
        <v>241</v>
      </c>
      <c r="D71" s="45" t="s">
        <v>243</v>
      </c>
      <c r="E71" s="45" t="s">
        <v>36</v>
      </c>
      <c r="F71" s="62" t="s">
        <v>153</v>
      </c>
      <c r="G71" s="46">
        <v>1</v>
      </c>
      <c r="H71" s="80">
        <v>45863</v>
      </c>
      <c r="I71" s="45" t="s">
        <v>40</v>
      </c>
      <c r="J71" s="45"/>
      <c r="K71" s="45" t="s">
        <v>532</v>
      </c>
    </row>
    <row r="72" spans="1:11" ht="15.75" x14ac:dyDescent="0.25">
      <c r="A72" s="19">
        <f t="shared" si="2"/>
        <v>71</v>
      </c>
      <c r="B72" s="59"/>
      <c r="C72" s="45"/>
      <c r="D72" s="45" t="s">
        <v>546</v>
      </c>
      <c r="E72" s="45" t="s">
        <v>547</v>
      </c>
      <c r="F72" s="62" t="s">
        <v>108</v>
      </c>
      <c r="G72" s="46">
        <v>1</v>
      </c>
      <c r="H72" s="80">
        <v>45867</v>
      </c>
      <c r="I72" s="45" t="s">
        <v>40</v>
      </c>
      <c r="J72" s="7" t="s">
        <v>33</v>
      </c>
      <c r="K72" s="45"/>
    </row>
    <row r="73" spans="1:11" ht="15.75" x14ac:dyDescent="0.25">
      <c r="A73" s="19">
        <f t="shared" si="2"/>
        <v>72</v>
      </c>
      <c r="B73" s="59"/>
      <c r="C73" s="45"/>
      <c r="D73" s="45" t="s">
        <v>240</v>
      </c>
      <c r="E73" s="45" t="s">
        <v>38</v>
      </c>
      <c r="F73" s="62" t="s">
        <v>153</v>
      </c>
      <c r="G73" s="46">
        <v>1</v>
      </c>
      <c r="H73" s="80">
        <v>45868</v>
      </c>
      <c r="I73" s="7" t="s">
        <v>234</v>
      </c>
      <c r="J73" s="45" t="s">
        <v>31</v>
      </c>
      <c r="K73" s="45" t="s">
        <v>551</v>
      </c>
    </row>
    <row r="74" spans="1:11" ht="15.75" x14ac:dyDescent="0.25">
      <c r="A74" s="19">
        <f t="shared" si="2"/>
        <v>73</v>
      </c>
      <c r="B74" s="59"/>
      <c r="C74" s="45"/>
      <c r="D74" s="45" t="s">
        <v>239</v>
      </c>
      <c r="E74" s="45" t="s">
        <v>38</v>
      </c>
      <c r="F74" s="62" t="s">
        <v>153</v>
      </c>
      <c r="G74" s="46">
        <v>1</v>
      </c>
      <c r="H74" s="80">
        <v>45868</v>
      </c>
      <c r="I74" s="7" t="s">
        <v>234</v>
      </c>
      <c r="J74" s="45" t="s">
        <v>31</v>
      </c>
      <c r="K74" s="45" t="s">
        <v>551</v>
      </c>
    </row>
    <row r="75" spans="1:11" ht="15.75" x14ac:dyDescent="0.25">
      <c r="A75" s="19">
        <f t="shared" si="2"/>
        <v>74</v>
      </c>
      <c r="B75" s="59"/>
      <c r="C75" s="45"/>
      <c r="D75" s="55" t="s">
        <v>242</v>
      </c>
      <c r="E75" s="55" t="s">
        <v>70</v>
      </c>
      <c r="F75" s="62" t="s">
        <v>153</v>
      </c>
      <c r="G75" s="46">
        <v>2</v>
      </c>
      <c r="H75" s="80">
        <v>45869</v>
      </c>
      <c r="I75" s="7" t="s">
        <v>234</v>
      </c>
      <c r="J75" s="45"/>
      <c r="K75" s="45" t="s">
        <v>551</v>
      </c>
    </row>
    <row r="76" spans="1:11" ht="15.75" x14ac:dyDescent="0.25">
      <c r="A76" s="19">
        <f t="shared" si="2"/>
        <v>75</v>
      </c>
      <c r="B76" s="110" t="s">
        <v>566</v>
      </c>
      <c r="C76" s="45" t="s">
        <v>564</v>
      </c>
      <c r="D76" s="45" t="s">
        <v>565</v>
      </c>
      <c r="E76" s="45" t="s">
        <v>177</v>
      </c>
      <c r="F76" s="62" t="s">
        <v>153</v>
      </c>
      <c r="G76" s="46">
        <v>1</v>
      </c>
      <c r="H76" s="80">
        <v>45869</v>
      </c>
      <c r="I76" s="45" t="s">
        <v>72</v>
      </c>
      <c r="J76" s="45" t="s">
        <v>26</v>
      </c>
      <c r="K76" s="45" t="s">
        <v>564</v>
      </c>
    </row>
    <row r="77" spans="1:11" ht="15.75" x14ac:dyDescent="0.25">
      <c r="A77" s="19">
        <f t="shared" si="2"/>
        <v>76</v>
      </c>
      <c r="B77" s="72" t="s">
        <v>34</v>
      </c>
      <c r="C77" s="45" t="s">
        <v>107</v>
      </c>
      <c r="D77" s="55" t="s">
        <v>522</v>
      </c>
      <c r="E77" s="55" t="s">
        <v>523</v>
      </c>
      <c r="F77" s="62" t="s">
        <v>108</v>
      </c>
      <c r="G77" s="46">
        <v>2</v>
      </c>
      <c r="H77" s="80">
        <v>45882</v>
      </c>
      <c r="I77" s="55" t="s">
        <v>40</v>
      </c>
      <c r="J77" s="7" t="s">
        <v>33</v>
      </c>
      <c r="K77" s="55" t="s">
        <v>528</v>
      </c>
    </row>
    <row r="78" spans="1:11" ht="15.75" x14ac:dyDescent="0.25">
      <c r="A78" s="19">
        <f t="shared" si="2"/>
        <v>77</v>
      </c>
      <c r="B78" s="44"/>
      <c r="C78" s="45"/>
      <c r="D78" s="45" t="s">
        <v>572</v>
      </c>
      <c r="E78" s="45" t="s">
        <v>104</v>
      </c>
      <c r="F78" s="56"/>
      <c r="G78" s="45"/>
      <c r="H78" s="45"/>
      <c r="I78" s="45"/>
      <c r="J78" s="45"/>
      <c r="K78" s="53" t="s">
        <v>588</v>
      </c>
    </row>
    <row r="79" spans="1:11" ht="15.75" x14ac:dyDescent="0.25">
      <c r="A79" s="19">
        <f t="shared" si="2"/>
        <v>78</v>
      </c>
      <c r="B79" s="59"/>
      <c r="C79" s="45"/>
      <c r="D79" s="45" t="s">
        <v>587</v>
      </c>
      <c r="E79" s="45" t="s">
        <v>38</v>
      </c>
      <c r="F79" s="62" t="s">
        <v>153</v>
      </c>
      <c r="G79" s="46">
        <v>1</v>
      </c>
      <c r="H79" s="80">
        <v>45873</v>
      </c>
      <c r="I79" s="45" t="s">
        <v>40</v>
      </c>
      <c r="J79" s="45" t="s">
        <v>31</v>
      </c>
      <c r="K79" s="45"/>
    </row>
    <row r="80" spans="1:11" ht="15.75" x14ac:dyDescent="0.25">
      <c r="A80" s="19">
        <f t="shared" si="2"/>
        <v>79</v>
      </c>
      <c r="B80" s="59"/>
      <c r="C80" s="45"/>
      <c r="D80" s="45" t="s">
        <v>613</v>
      </c>
      <c r="E80" s="45" t="s">
        <v>614</v>
      </c>
      <c r="F80" s="62" t="s">
        <v>108</v>
      </c>
      <c r="G80" s="46">
        <v>1</v>
      </c>
      <c r="H80" s="80">
        <v>45874</v>
      </c>
      <c r="I80" s="45" t="s">
        <v>40</v>
      </c>
      <c r="J80" s="7" t="s">
        <v>33</v>
      </c>
      <c r="K80" s="45"/>
    </row>
    <row r="81" spans="1:11" ht="15.75" x14ac:dyDescent="0.25">
      <c r="A81" s="19">
        <f t="shared" si="2"/>
        <v>80</v>
      </c>
      <c r="B81" s="59"/>
      <c r="C81" s="45"/>
      <c r="D81" s="45" t="s">
        <v>632</v>
      </c>
      <c r="E81" s="45" t="s">
        <v>633</v>
      </c>
      <c r="F81" s="62" t="s">
        <v>153</v>
      </c>
      <c r="G81" s="46">
        <v>1</v>
      </c>
      <c r="H81" s="80">
        <v>45876</v>
      </c>
      <c r="I81" s="45" t="s">
        <v>40</v>
      </c>
      <c r="J81" s="45" t="s">
        <v>31</v>
      </c>
      <c r="K81" s="45" t="s">
        <v>634</v>
      </c>
    </row>
    <row r="82" spans="1:11" ht="15.75" x14ac:dyDescent="0.25">
      <c r="A82" s="19">
        <f t="shared" si="2"/>
        <v>81</v>
      </c>
      <c r="B82" s="59"/>
      <c r="C82" s="45"/>
      <c r="D82" s="45" t="s">
        <v>635</v>
      </c>
      <c r="E82" s="45" t="s">
        <v>48</v>
      </c>
      <c r="F82" s="62" t="s">
        <v>153</v>
      </c>
      <c r="G82" s="46">
        <v>1</v>
      </c>
      <c r="H82" s="80">
        <v>45876</v>
      </c>
      <c r="I82" s="45" t="s">
        <v>40</v>
      </c>
      <c r="J82" s="45" t="s">
        <v>31</v>
      </c>
      <c r="K82" s="45" t="s">
        <v>634</v>
      </c>
    </row>
    <row r="83" spans="1:11" ht="15.75" x14ac:dyDescent="0.25">
      <c r="A83" s="19">
        <f t="shared" si="2"/>
        <v>82</v>
      </c>
      <c r="B83" s="59"/>
      <c r="C83" s="45"/>
      <c r="D83" s="55" t="s">
        <v>642</v>
      </c>
      <c r="E83" s="55" t="s">
        <v>643</v>
      </c>
      <c r="F83" s="62" t="s">
        <v>153</v>
      </c>
      <c r="G83" s="46">
        <v>1</v>
      </c>
      <c r="H83" s="80">
        <v>45877</v>
      </c>
      <c r="I83" s="45" t="s">
        <v>40</v>
      </c>
      <c r="J83" s="45"/>
      <c r="K83" s="45" t="s">
        <v>644</v>
      </c>
    </row>
    <row r="84" spans="1:11" ht="15.75" x14ac:dyDescent="0.25">
      <c r="A84" s="19">
        <f t="shared" si="2"/>
        <v>83</v>
      </c>
      <c r="B84" s="59"/>
      <c r="C84" s="45"/>
      <c r="D84" s="45" t="s">
        <v>674</v>
      </c>
      <c r="E84" s="45" t="s">
        <v>675</v>
      </c>
      <c r="F84" s="46" t="s">
        <v>153</v>
      </c>
      <c r="G84" s="46">
        <v>1</v>
      </c>
      <c r="H84" s="80">
        <v>45880</v>
      </c>
      <c r="I84" s="45" t="s">
        <v>40</v>
      </c>
      <c r="J84" s="45"/>
      <c r="K84" s="45"/>
    </row>
    <row r="85" spans="1:11" ht="15.75" x14ac:dyDescent="0.25">
      <c r="A85" s="19">
        <f t="shared" si="2"/>
        <v>84</v>
      </c>
      <c r="B85" s="44" t="s">
        <v>333</v>
      </c>
      <c r="C85" s="45" t="s">
        <v>497</v>
      </c>
      <c r="D85" s="53" t="s">
        <v>702</v>
      </c>
      <c r="E85" s="53" t="s">
        <v>703</v>
      </c>
      <c r="F85" s="56"/>
      <c r="G85" s="45"/>
      <c r="H85" s="45"/>
      <c r="I85" s="45"/>
      <c r="J85" s="45" t="s">
        <v>33</v>
      </c>
      <c r="K85" s="45" t="s">
        <v>753</v>
      </c>
    </row>
    <row r="86" spans="1:11" ht="15.75" x14ac:dyDescent="0.25">
      <c r="A86" s="19">
        <f t="shared" si="2"/>
        <v>85</v>
      </c>
      <c r="B86" s="44" t="s">
        <v>333</v>
      </c>
      <c r="C86" s="45" t="s">
        <v>497</v>
      </c>
      <c r="D86" s="53" t="s">
        <v>704</v>
      </c>
      <c r="E86" s="53" t="s">
        <v>703</v>
      </c>
      <c r="F86" s="56"/>
      <c r="G86" s="45"/>
      <c r="H86" s="45"/>
      <c r="I86" s="45"/>
      <c r="J86" s="45" t="s">
        <v>33</v>
      </c>
      <c r="K86" s="45" t="s">
        <v>753</v>
      </c>
    </row>
    <row r="87" spans="1:11" s="65" customFormat="1" ht="15.75" x14ac:dyDescent="0.25">
      <c r="A87" s="19">
        <f t="shared" si="2"/>
        <v>86</v>
      </c>
      <c r="B87" s="44" t="s">
        <v>723</v>
      </c>
      <c r="C87" s="45" t="s">
        <v>721</v>
      </c>
      <c r="D87" s="45" t="s">
        <v>724</v>
      </c>
      <c r="E87" s="45" t="s">
        <v>27</v>
      </c>
      <c r="F87" s="56"/>
      <c r="G87" s="45"/>
      <c r="H87" s="45"/>
      <c r="I87" s="45"/>
      <c r="J87" s="45" t="s">
        <v>33</v>
      </c>
      <c r="K87" s="45" t="s">
        <v>722</v>
      </c>
    </row>
    <row r="88" spans="1:11" s="65" customFormat="1" ht="15.75" x14ac:dyDescent="0.25">
      <c r="A88" s="19">
        <f t="shared" si="2"/>
        <v>87</v>
      </c>
      <c r="B88" s="44" t="s">
        <v>723</v>
      </c>
      <c r="C88" s="45" t="s">
        <v>721</v>
      </c>
      <c r="D88" s="45" t="s">
        <v>725</v>
      </c>
      <c r="E88" s="45" t="s">
        <v>27</v>
      </c>
      <c r="F88" s="56"/>
      <c r="G88" s="45"/>
      <c r="H88" s="45"/>
      <c r="I88" s="45"/>
      <c r="J88" s="45" t="s">
        <v>33</v>
      </c>
      <c r="K88" s="45" t="s">
        <v>722</v>
      </c>
    </row>
    <row r="89" spans="1:11" s="65" customFormat="1" ht="15.75" x14ac:dyDescent="0.25">
      <c r="A89" s="19">
        <f t="shared" si="2"/>
        <v>88</v>
      </c>
      <c r="B89" s="44" t="s">
        <v>723</v>
      </c>
      <c r="C89" s="45" t="s">
        <v>721</v>
      </c>
      <c r="D89" s="45" t="s">
        <v>726</v>
      </c>
      <c r="E89" s="45" t="s">
        <v>27</v>
      </c>
      <c r="F89" s="56"/>
      <c r="G89" s="45"/>
      <c r="H89" s="45"/>
      <c r="I89" s="45"/>
      <c r="J89" s="45" t="s">
        <v>33</v>
      </c>
      <c r="K89" s="45" t="s">
        <v>722</v>
      </c>
    </row>
    <row r="90" spans="1:11" s="65" customFormat="1" ht="15.75" x14ac:dyDescent="0.25">
      <c r="A90" s="19">
        <f t="shared" si="2"/>
        <v>89</v>
      </c>
      <c r="B90" s="44" t="s">
        <v>723</v>
      </c>
      <c r="C90" s="45" t="s">
        <v>721</v>
      </c>
      <c r="D90" s="45" t="s">
        <v>727</v>
      </c>
      <c r="E90" s="45" t="s">
        <v>27</v>
      </c>
      <c r="F90" s="56"/>
      <c r="G90" s="45"/>
      <c r="H90" s="45"/>
      <c r="I90" s="45"/>
      <c r="J90" s="45" t="s">
        <v>33</v>
      </c>
      <c r="K90" s="45" t="s">
        <v>722</v>
      </c>
    </row>
    <row r="91" spans="1:11" s="65" customFormat="1" ht="15.75" x14ac:dyDescent="0.25">
      <c r="A91" s="19">
        <f t="shared" si="2"/>
        <v>90</v>
      </c>
      <c r="B91" s="44" t="s">
        <v>723</v>
      </c>
      <c r="C91" s="45" t="s">
        <v>721</v>
      </c>
      <c r="D91" s="45" t="s">
        <v>728</v>
      </c>
      <c r="E91" s="45" t="s">
        <v>27</v>
      </c>
      <c r="F91" s="56"/>
      <c r="G91" s="45"/>
      <c r="H91" s="45"/>
      <c r="I91" s="45"/>
      <c r="J91" s="45" t="s">
        <v>33</v>
      </c>
      <c r="K91" s="45" t="s">
        <v>722</v>
      </c>
    </row>
    <row r="92" spans="1:11" s="65" customFormat="1" ht="15.75" x14ac:dyDescent="0.25">
      <c r="A92" s="64"/>
      <c r="B92" s="44"/>
      <c r="C92" s="45"/>
      <c r="D92" s="45"/>
      <c r="E92" s="45"/>
      <c r="F92" s="56"/>
      <c r="G92" s="45"/>
      <c r="H92" s="45"/>
      <c r="I92" s="45"/>
      <c r="J92" s="45"/>
      <c r="K92" s="45"/>
    </row>
    <row r="93" spans="1:11" s="65" customFormat="1" ht="15.75" x14ac:dyDescent="0.25">
      <c r="A93" s="64"/>
      <c r="B93" s="44"/>
      <c r="C93" s="45"/>
      <c r="D93" s="45"/>
      <c r="E93" s="45"/>
      <c r="F93" s="56"/>
      <c r="G93" s="45"/>
      <c r="H93" s="45"/>
      <c r="I93" s="45"/>
      <c r="J93" s="45"/>
      <c r="K93" s="45"/>
    </row>
    <row r="94" spans="1:11" s="65" customFormat="1" ht="15.75" x14ac:dyDescent="0.25">
      <c r="A94" s="64"/>
      <c r="B94" s="44"/>
      <c r="C94" s="45"/>
      <c r="D94" s="45"/>
      <c r="E94" s="45"/>
      <c r="F94" s="56"/>
      <c r="G94" s="45"/>
      <c r="H94" s="45"/>
      <c r="I94" s="45"/>
      <c r="J94" s="45"/>
      <c r="K94" s="45"/>
    </row>
    <row r="95" spans="1:11" s="65" customFormat="1" ht="15.75" x14ac:dyDescent="0.25">
      <c r="A95" s="64"/>
      <c r="B95" s="44"/>
      <c r="C95" s="45"/>
      <c r="D95" s="45"/>
      <c r="E95" s="45"/>
      <c r="F95" s="56"/>
      <c r="G95" s="45"/>
      <c r="H95" s="45"/>
      <c r="I95" s="45"/>
      <c r="J95" s="45"/>
      <c r="K95" s="45"/>
    </row>
    <row r="96" spans="1:11" s="65" customFormat="1" ht="15.75" x14ac:dyDescent="0.25">
      <c r="A96" s="64"/>
      <c r="B96" s="44"/>
      <c r="C96" s="45"/>
      <c r="D96" s="45"/>
      <c r="E96" s="45"/>
      <c r="F96" s="56"/>
      <c r="G96" s="45"/>
      <c r="H96" s="45"/>
      <c r="I96" s="45"/>
      <c r="J96" s="45"/>
      <c r="K96" s="45"/>
    </row>
    <row r="97" spans="1:11" s="65" customFormat="1" ht="15.75" x14ac:dyDescent="0.25">
      <c r="A97" s="64"/>
      <c r="B97" s="44"/>
      <c r="C97" s="45"/>
      <c r="D97" s="45"/>
      <c r="E97" s="45"/>
      <c r="F97" s="56"/>
      <c r="G97" s="45"/>
      <c r="H97" s="45"/>
      <c r="I97" s="45"/>
      <c r="J97" s="45"/>
      <c r="K97" s="45"/>
    </row>
    <row r="98" spans="1:11" s="65" customFormat="1" ht="15.75" x14ac:dyDescent="0.25">
      <c r="A98" s="64"/>
      <c r="B98" s="44"/>
      <c r="C98" s="45"/>
      <c r="D98" s="45"/>
      <c r="E98" s="45"/>
      <c r="F98" s="56"/>
      <c r="G98" s="45"/>
      <c r="H98" s="45"/>
      <c r="I98" s="45"/>
      <c r="J98" s="45"/>
      <c r="K98" s="45"/>
    </row>
    <row r="99" spans="1:11" s="65" customFormat="1" ht="15.75" x14ac:dyDescent="0.25">
      <c r="A99" s="64"/>
      <c r="B99" s="44"/>
      <c r="C99" s="45"/>
      <c r="D99" s="45"/>
      <c r="E99" s="45"/>
      <c r="F99" s="56"/>
      <c r="G99" s="45"/>
      <c r="H99" s="45"/>
      <c r="I99" s="45"/>
      <c r="J99" s="45"/>
      <c r="K99" s="45"/>
    </row>
    <row r="100" spans="1:11" s="65" customFormat="1" ht="15.75" x14ac:dyDescent="0.25">
      <c r="A100" s="64"/>
      <c r="B100" s="44"/>
      <c r="C100" s="45"/>
      <c r="D100" s="45"/>
      <c r="E100" s="45"/>
      <c r="F100" s="56"/>
      <c r="G100" s="45"/>
      <c r="H100" s="45"/>
      <c r="I100" s="45"/>
      <c r="J100" s="45"/>
      <c r="K100" s="45"/>
    </row>
    <row r="101" spans="1:11" s="65" customFormat="1" ht="15.75" x14ac:dyDescent="0.25">
      <c r="A101" s="64"/>
      <c r="B101" s="44"/>
      <c r="C101" s="45"/>
      <c r="D101" s="45"/>
      <c r="E101" s="45"/>
      <c r="F101" s="56"/>
      <c r="G101" s="45"/>
      <c r="H101" s="45"/>
      <c r="I101" s="45"/>
      <c r="J101" s="45"/>
      <c r="K101" s="45"/>
    </row>
    <row r="102" spans="1:11" s="65" customFormat="1" ht="15.75" x14ac:dyDescent="0.25">
      <c r="A102" s="64"/>
      <c r="B102" s="44"/>
      <c r="C102" s="45"/>
      <c r="D102" s="45"/>
      <c r="E102" s="45"/>
      <c r="F102" s="56"/>
      <c r="G102" s="45"/>
      <c r="H102" s="45"/>
      <c r="I102" s="45"/>
      <c r="J102" s="45"/>
      <c r="K102" s="45"/>
    </row>
    <row r="103" spans="1:11" s="65" customFormat="1" ht="15.75" x14ac:dyDescent="0.25">
      <c r="A103" s="64"/>
      <c r="B103" s="44"/>
      <c r="C103" s="45"/>
      <c r="D103" s="45"/>
      <c r="E103" s="45"/>
      <c r="F103" s="56"/>
      <c r="G103" s="45"/>
      <c r="H103" s="45"/>
      <c r="I103" s="45"/>
      <c r="J103" s="45"/>
      <c r="K103" s="45"/>
    </row>
    <row r="104" spans="1:11" s="65" customFormat="1" ht="15.75" x14ac:dyDescent="0.25">
      <c r="A104" s="64"/>
      <c r="B104" s="44"/>
      <c r="C104" s="45"/>
      <c r="D104" s="45"/>
      <c r="E104" s="45"/>
      <c r="F104" s="56"/>
      <c r="G104" s="45"/>
      <c r="H104" s="45"/>
      <c r="I104" s="45"/>
      <c r="J104" s="45"/>
      <c r="K104" s="45"/>
    </row>
    <row r="105" spans="1:11" s="65" customFormat="1" ht="15.75" x14ac:dyDescent="0.25">
      <c r="A105" s="64"/>
      <c r="B105" s="44"/>
      <c r="C105" s="45"/>
      <c r="D105" s="45"/>
      <c r="E105" s="45"/>
      <c r="F105" s="56"/>
      <c r="G105" s="45"/>
      <c r="H105" s="45"/>
      <c r="I105" s="45"/>
      <c r="J105" s="45"/>
      <c r="K105" s="45"/>
    </row>
    <row r="106" spans="1:11" s="65" customFormat="1" ht="15.75" x14ac:dyDescent="0.25">
      <c r="A106" s="64"/>
      <c r="B106" s="44"/>
      <c r="C106" s="45"/>
      <c r="D106" s="45"/>
      <c r="E106" s="45"/>
      <c r="F106" s="56"/>
      <c r="G106" s="45"/>
      <c r="H106" s="45"/>
      <c r="I106" s="45"/>
      <c r="J106" s="45"/>
      <c r="K106" s="45"/>
    </row>
    <row r="107" spans="1:11" s="65" customFormat="1" ht="15.75" x14ac:dyDescent="0.25">
      <c r="A107" s="64"/>
      <c r="B107" s="44"/>
      <c r="C107" s="45"/>
      <c r="D107" s="45"/>
      <c r="E107" s="45"/>
      <c r="F107" s="56"/>
      <c r="G107" s="45"/>
      <c r="H107" s="45"/>
      <c r="I107" s="45"/>
      <c r="J107" s="45"/>
      <c r="K107" s="45"/>
    </row>
    <row r="108" spans="1:11" s="65" customFormat="1" ht="15.75" x14ac:dyDescent="0.25">
      <c r="A108" s="64"/>
      <c r="B108" s="44"/>
      <c r="C108" s="45"/>
      <c r="D108" s="45"/>
      <c r="E108" s="45"/>
      <c r="F108" s="56"/>
      <c r="G108" s="45"/>
      <c r="H108" s="45"/>
      <c r="I108" s="45"/>
      <c r="J108" s="45"/>
      <c r="K108" s="45"/>
    </row>
    <row r="109" spans="1:11" s="65" customFormat="1" ht="15.75" x14ac:dyDescent="0.25">
      <c r="A109" s="64"/>
      <c r="B109" s="44"/>
      <c r="C109" s="45"/>
      <c r="D109" s="45"/>
      <c r="E109" s="45"/>
      <c r="F109" s="56"/>
      <c r="G109" s="45"/>
      <c r="H109" s="45"/>
      <c r="I109" s="45"/>
      <c r="J109" s="45"/>
      <c r="K109" s="45"/>
    </row>
    <row r="110" spans="1:11" s="65" customFormat="1" ht="15.75" x14ac:dyDescent="0.25">
      <c r="A110" s="64"/>
      <c r="B110" s="44"/>
      <c r="C110" s="45"/>
      <c r="D110" s="45"/>
      <c r="E110" s="45"/>
      <c r="F110" s="56"/>
      <c r="G110" s="45"/>
      <c r="H110" s="45"/>
      <c r="I110" s="45"/>
      <c r="J110" s="45"/>
      <c r="K110" s="45"/>
    </row>
    <row r="111" spans="1:11" s="65" customFormat="1" ht="15.75" x14ac:dyDescent="0.25">
      <c r="A111" s="64"/>
      <c r="B111" s="44"/>
      <c r="C111" s="45"/>
      <c r="D111" s="45"/>
      <c r="E111" s="45"/>
      <c r="F111" s="56"/>
      <c r="G111" s="45"/>
      <c r="H111" s="45"/>
      <c r="I111" s="45"/>
      <c r="J111" s="45"/>
      <c r="K111" s="45"/>
    </row>
    <row r="112" spans="1:11" s="65" customFormat="1" ht="15.75" x14ac:dyDescent="0.25">
      <c r="A112" s="64"/>
      <c r="B112" s="44"/>
      <c r="C112" s="45"/>
      <c r="D112" s="45"/>
      <c r="E112" s="45"/>
      <c r="F112" s="56"/>
      <c r="G112" s="45"/>
      <c r="H112" s="45"/>
      <c r="I112" s="45"/>
      <c r="J112" s="45"/>
      <c r="K112" s="45"/>
    </row>
    <row r="113" spans="1:11" s="65" customFormat="1" ht="15.75" x14ac:dyDescent="0.25">
      <c r="A113" s="64"/>
      <c r="B113" s="44"/>
      <c r="C113" s="45"/>
      <c r="D113" s="45"/>
      <c r="E113" s="45"/>
      <c r="F113" s="56"/>
      <c r="G113" s="45"/>
      <c r="H113" s="45"/>
      <c r="I113" s="45"/>
      <c r="J113" s="45"/>
      <c r="K113" s="45"/>
    </row>
    <row r="114" spans="1:11" s="65" customFormat="1" ht="15.75" x14ac:dyDescent="0.25">
      <c r="A114" s="64"/>
      <c r="B114" s="44"/>
      <c r="C114" s="45"/>
      <c r="D114" s="45"/>
      <c r="E114" s="45"/>
      <c r="F114" s="56"/>
      <c r="G114" s="45"/>
      <c r="H114" s="45"/>
      <c r="I114" s="45"/>
      <c r="J114" s="45"/>
      <c r="K114" s="45"/>
    </row>
    <row r="115" spans="1:11" s="65" customFormat="1" ht="15.75" x14ac:dyDescent="0.25">
      <c r="A115" s="64"/>
      <c r="B115" s="44"/>
      <c r="C115" s="45"/>
      <c r="D115" s="45"/>
      <c r="E115" s="45"/>
      <c r="F115" s="56"/>
      <c r="G115" s="45"/>
      <c r="H115" s="45"/>
      <c r="I115" s="45"/>
      <c r="J115" s="45"/>
      <c r="K115" s="45"/>
    </row>
    <row r="116" spans="1:11" s="65" customFormat="1" ht="15.75" x14ac:dyDescent="0.25">
      <c r="A116" s="64"/>
      <c r="B116" s="44"/>
      <c r="C116" s="45"/>
      <c r="D116" s="45"/>
      <c r="E116" s="45"/>
      <c r="F116" s="56"/>
      <c r="G116" s="45"/>
      <c r="H116" s="45"/>
      <c r="I116" s="45"/>
      <c r="J116" s="45"/>
      <c r="K116" s="45"/>
    </row>
    <row r="117" spans="1:11" s="65" customFormat="1" ht="15.75" x14ac:dyDescent="0.25">
      <c r="A117" s="64"/>
      <c r="B117" s="44"/>
      <c r="C117" s="45"/>
      <c r="D117" s="45"/>
      <c r="E117" s="45"/>
      <c r="F117" s="56"/>
      <c r="G117" s="45"/>
      <c r="H117" s="45"/>
      <c r="I117" s="45"/>
      <c r="J117" s="45"/>
      <c r="K117" s="45"/>
    </row>
    <row r="118" spans="1:11" s="65" customFormat="1" ht="15.75" x14ac:dyDescent="0.25">
      <c r="A118" s="64"/>
      <c r="B118" s="44"/>
      <c r="C118" s="45"/>
      <c r="D118" s="45"/>
      <c r="E118" s="45"/>
      <c r="F118" s="56"/>
      <c r="G118" s="45"/>
      <c r="H118" s="45"/>
      <c r="I118" s="45"/>
      <c r="J118" s="45"/>
      <c r="K118" s="45"/>
    </row>
    <row r="119" spans="1:11" s="65" customFormat="1" ht="15.75" x14ac:dyDescent="0.25">
      <c r="A119" s="64"/>
      <c r="B119" s="44"/>
      <c r="C119" s="45"/>
      <c r="D119" s="45"/>
      <c r="E119" s="45"/>
      <c r="F119" s="56"/>
      <c r="G119" s="45"/>
      <c r="H119" s="45"/>
      <c r="I119" s="45"/>
      <c r="J119" s="45"/>
      <c r="K119" s="45"/>
    </row>
    <row r="120" spans="1:11" s="65" customFormat="1" ht="15.75" x14ac:dyDescent="0.25">
      <c r="A120" s="64"/>
      <c r="B120" s="44"/>
      <c r="C120" s="45"/>
      <c r="D120" s="45"/>
      <c r="E120" s="45"/>
      <c r="F120" s="56"/>
      <c r="G120" s="45"/>
      <c r="H120" s="45"/>
      <c r="I120" s="45"/>
      <c r="J120" s="45"/>
      <c r="K120" s="45"/>
    </row>
    <row r="121" spans="1:11" s="65" customFormat="1" ht="15.75" x14ac:dyDescent="0.25">
      <c r="A121" s="64"/>
      <c r="B121" s="44"/>
      <c r="C121" s="45"/>
      <c r="D121" s="45"/>
      <c r="E121" s="45"/>
      <c r="F121" s="56"/>
      <c r="G121" s="45"/>
      <c r="H121" s="45"/>
      <c r="I121" s="45"/>
      <c r="J121" s="45"/>
      <c r="K121" s="45"/>
    </row>
    <row r="122" spans="1:11" s="65" customFormat="1" ht="15.75" x14ac:dyDescent="0.25">
      <c r="A122" s="64"/>
      <c r="B122" s="44"/>
      <c r="C122" s="45"/>
      <c r="D122" s="45"/>
      <c r="E122" s="45"/>
      <c r="F122" s="56"/>
      <c r="G122" s="45"/>
      <c r="H122" s="45"/>
      <c r="I122" s="45"/>
      <c r="J122" s="45"/>
      <c r="K122" s="45"/>
    </row>
    <row r="123" spans="1:11" s="65" customFormat="1" ht="15.75" x14ac:dyDescent="0.25">
      <c r="A123" s="64"/>
      <c r="B123" s="44"/>
      <c r="C123" s="45"/>
      <c r="D123" s="45"/>
      <c r="E123" s="45"/>
      <c r="F123" s="56"/>
      <c r="G123" s="45"/>
      <c r="H123" s="45"/>
      <c r="I123" s="45"/>
      <c r="J123" s="45"/>
      <c r="K123" s="45"/>
    </row>
    <row r="124" spans="1:11" s="65" customFormat="1" ht="15.75" x14ac:dyDescent="0.25">
      <c r="A124" s="64"/>
      <c r="B124" s="44"/>
      <c r="C124" s="45"/>
      <c r="D124" s="45"/>
      <c r="E124" s="45"/>
      <c r="F124" s="56"/>
      <c r="G124" s="45"/>
      <c r="H124" s="45"/>
      <c r="I124" s="45"/>
      <c r="J124" s="45"/>
      <c r="K124" s="45"/>
    </row>
    <row r="125" spans="1:11" s="65" customFormat="1" ht="15.75" x14ac:dyDescent="0.25">
      <c r="A125" s="64"/>
      <c r="B125" s="44"/>
      <c r="C125" s="45"/>
      <c r="D125" s="45"/>
      <c r="E125" s="45"/>
      <c r="F125" s="56"/>
      <c r="G125" s="45"/>
      <c r="H125" s="45"/>
      <c r="I125" s="45"/>
      <c r="J125" s="45"/>
      <c r="K125" s="45"/>
    </row>
    <row r="126" spans="1:11" s="65" customFormat="1" ht="15.75" x14ac:dyDescent="0.25">
      <c r="A126" s="64"/>
      <c r="B126" s="44"/>
      <c r="C126" s="45"/>
      <c r="D126" s="45"/>
      <c r="E126" s="45"/>
      <c r="F126" s="56"/>
      <c r="G126" s="45"/>
      <c r="H126" s="45"/>
      <c r="I126" s="45"/>
      <c r="J126" s="45"/>
      <c r="K126" s="45"/>
    </row>
    <row r="127" spans="1:11" s="65" customFormat="1" ht="15.75" x14ac:dyDescent="0.25">
      <c r="A127" s="64"/>
      <c r="B127" s="44"/>
      <c r="C127" s="45"/>
      <c r="D127" s="45"/>
      <c r="E127" s="45"/>
      <c r="F127" s="56"/>
      <c r="G127" s="45"/>
      <c r="H127" s="45"/>
      <c r="I127" s="45"/>
      <c r="J127" s="45"/>
      <c r="K127" s="45"/>
    </row>
    <row r="128" spans="1:11" s="65" customFormat="1" ht="15.75" x14ac:dyDescent="0.25">
      <c r="A128" s="64"/>
      <c r="B128" s="44"/>
      <c r="C128" s="45"/>
      <c r="D128" s="45"/>
      <c r="E128" s="45"/>
      <c r="F128" s="56"/>
      <c r="G128" s="45"/>
      <c r="H128" s="45"/>
      <c r="I128" s="45"/>
      <c r="J128" s="45"/>
      <c r="K128" s="45"/>
    </row>
    <row r="129" spans="1:11" s="65" customFormat="1" ht="15.75" x14ac:dyDescent="0.25">
      <c r="A129" s="64"/>
      <c r="B129" s="44"/>
      <c r="C129" s="45"/>
      <c r="D129" s="45"/>
      <c r="E129" s="45"/>
      <c r="F129" s="56"/>
      <c r="G129" s="45"/>
      <c r="H129" s="45"/>
      <c r="I129" s="45"/>
      <c r="J129" s="45"/>
      <c r="K129" s="45"/>
    </row>
    <row r="130" spans="1:11" s="65" customFormat="1" ht="15.75" x14ac:dyDescent="0.25">
      <c r="A130" s="64"/>
      <c r="B130" s="44"/>
      <c r="C130" s="45"/>
      <c r="D130" s="45"/>
      <c r="E130" s="45"/>
      <c r="F130" s="56"/>
      <c r="G130" s="45"/>
      <c r="H130" s="45"/>
      <c r="I130" s="45"/>
      <c r="J130" s="45"/>
      <c r="K130" s="45"/>
    </row>
    <row r="131" spans="1:11" s="65" customFormat="1" ht="15.75" x14ac:dyDescent="0.25">
      <c r="A131" s="64"/>
      <c r="B131" s="44"/>
      <c r="C131" s="45"/>
      <c r="D131" s="45"/>
      <c r="E131" s="45"/>
      <c r="F131" s="56"/>
      <c r="G131" s="45"/>
      <c r="H131" s="45"/>
      <c r="I131" s="45"/>
      <c r="J131" s="45"/>
      <c r="K131" s="45"/>
    </row>
    <row r="132" spans="1:11" s="65" customFormat="1" ht="15.75" x14ac:dyDescent="0.25">
      <c r="A132" s="64"/>
      <c r="B132" s="44"/>
      <c r="C132" s="45"/>
      <c r="D132" s="45"/>
      <c r="E132" s="45"/>
      <c r="F132" s="56"/>
      <c r="G132" s="45"/>
      <c r="H132" s="45"/>
      <c r="I132" s="45"/>
      <c r="J132" s="45"/>
      <c r="K132" s="45"/>
    </row>
    <row r="133" spans="1:11" s="65" customFormat="1" ht="15.75" x14ac:dyDescent="0.25">
      <c r="A133" s="64"/>
      <c r="B133" s="44"/>
      <c r="C133" s="45"/>
      <c r="D133" s="45"/>
      <c r="E133" s="45"/>
      <c r="F133" s="56"/>
      <c r="G133" s="45"/>
      <c r="H133" s="45"/>
      <c r="I133" s="45"/>
      <c r="J133" s="45"/>
      <c r="K133" s="45"/>
    </row>
    <row r="134" spans="1:11" s="65" customFormat="1" ht="15.75" x14ac:dyDescent="0.25">
      <c r="A134" s="64"/>
      <c r="B134" s="44"/>
      <c r="C134" s="45"/>
      <c r="D134" s="45"/>
      <c r="E134" s="45"/>
      <c r="F134" s="56"/>
      <c r="G134" s="45"/>
      <c r="H134" s="45"/>
      <c r="I134" s="45"/>
      <c r="J134" s="45"/>
      <c r="K134" s="45"/>
    </row>
    <row r="135" spans="1:11" s="65" customFormat="1" ht="15.75" x14ac:dyDescent="0.25">
      <c r="A135" s="64"/>
      <c r="B135" s="44"/>
      <c r="C135" s="45"/>
      <c r="D135" s="45"/>
      <c r="E135" s="45"/>
      <c r="F135" s="56"/>
      <c r="G135" s="45"/>
      <c r="H135" s="45"/>
      <c r="I135" s="45"/>
      <c r="J135" s="45"/>
      <c r="K135" s="45"/>
    </row>
    <row r="136" spans="1:11" s="65" customFormat="1" ht="15.75" x14ac:dyDescent="0.25">
      <c r="A136" s="64"/>
      <c r="B136" s="44"/>
      <c r="C136" s="45"/>
      <c r="D136" s="45"/>
      <c r="E136" s="45"/>
      <c r="F136" s="56"/>
      <c r="G136" s="45"/>
      <c r="H136" s="45"/>
      <c r="I136" s="45"/>
      <c r="J136" s="45"/>
      <c r="K136" s="45"/>
    </row>
    <row r="137" spans="1:11" s="65" customFormat="1" ht="15.75" x14ac:dyDescent="0.25">
      <c r="A137" s="64"/>
      <c r="B137" s="44"/>
      <c r="C137" s="45"/>
      <c r="D137" s="45"/>
      <c r="E137" s="45"/>
      <c r="F137" s="56"/>
      <c r="G137" s="45"/>
      <c r="H137" s="45"/>
      <c r="I137" s="45"/>
      <c r="J137" s="45"/>
      <c r="K137" s="45"/>
    </row>
    <row r="138" spans="1:11" s="65" customFormat="1" ht="15.75" x14ac:dyDescent="0.25">
      <c r="A138" s="64"/>
      <c r="B138" s="44"/>
      <c r="C138" s="45"/>
      <c r="D138" s="45"/>
      <c r="E138" s="45"/>
      <c r="F138" s="56"/>
      <c r="G138" s="45"/>
      <c r="H138" s="45"/>
      <c r="I138" s="45"/>
      <c r="J138" s="45"/>
      <c r="K138" s="45"/>
    </row>
    <row r="139" spans="1:11" s="65" customFormat="1" ht="15.75" x14ac:dyDescent="0.25">
      <c r="A139" s="64"/>
      <c r="B139" s="44"/>
      <c r="C139" s="45"/>
      <c r="D139" s="45"/>
      <c r="E139" s="45"/>
      <c r="F139" s="56"/>
      <c r="G139" s="45"/>
      <c r="H139" s="45"/>
      <c r="I139" s="45"/>
      <c r="J139" s="45"/>
      <c r="K139" s="45"/>
    </row>
    <row r="140" spans="1:11" s="65" customFormat="1" ht="15.75" x14ac:dyDescent="0.25">
      <c r="A140" s="64"/>
      <c r="B140" s="44"/>
      <c r="C140" s="45"/>
      <c r="D140" s="45"/>
      <c r="E140" s="45"/>
      <c r="F140" s="56"/>
      <c r="G140" s="45"/>
      <c r="H140" s="45"/>
      <c r="I140" s="45"/>
      <c r="J140" s="45"/>
      <c r="K140" s="45"/>
    </row>
    <row r="141" spans="1:11" s="65" customFormat="1" ht="15.75" x14ac:dyDescent="0.25">
      <c r="A141" s="64"/>
      <c r="B141" s="44"/>
      <c r="C141" s="45"/>
      <c r="D141" s="45"/>
      <c r="E141" s="45"/>
      <c r="F141" s="56"/>
      <c r="G141" s="45"/>
      <c r="H141" s="45"/>
      <c r="I141" s="45"/>
      <c r="J141" s="45"/>
      <c r="K141" s="45"/>
    </row>
    <row r="142" spans="1:11" s="65" customFormat="1" ht="15.75" x14ac:dyDescent="0.25">
      <c r="A142" s="64"/>
      <c r="B142" s="44"/>
      <c r="C142" s="45"/>
      <c r="D142" s="45"/>
      <c r="E142" s="45"/>
      <c r="F142" s="56"/>
      <c r="G142" s="45"/>
      <c r="H142" s="45"/>
      <c r="I142" s="45"/>
      <c r="J142" s="45"/>
      <c r="K142" s="45"/>
    </row>
    <row r="143" spans="1:11" s="65" customFormat="1" ht="15.75" x14ac:dyDescent="0.25">
      <c r="A143" s="64"/>
      <c r="B143" s="44"/>
      <c r="C143" s="45"/>
      <c r="D143" s="45"/>
      <c r="E143" s="45"/>
      <c r="F143" s="56"/>
      <c r="G143" s="45"/>
      <c r="H143" s="45"/>
      <c r="I143" s="45"/>
      <c r="J143" s="45"/>
      <c r="K143" s="45"/>
    </row>
    <row r="144" spans="1:11" s="65" customFormat="1" ht="15.75" x14ac:dyDescent="0.25">
      <c r="A144" s="64"/>
      <c r="B144" s="44"/>
      <c r="C144" s="45"/>
      <c r="D144" s="45"/>
      <c r="E144" s="45"/>
      <c r="F144" s="56"/>
      <c r="G144" s="45"/>
      <c r="H144" s="45"/>
      <c r="I144" s="45"/>
      <c r="J144" s="45"/>
      <c r="K144" s="45"/>
    </row>
    <row r="145" spans="1:11" s="65" customFormat="1" ht="15.75" x14ac:dyDescent="0.25">
      <c r="A145" s="64"/>
      <c r="B145" s="44"/>
      <c r="C145" s="45"/>
      <c r="D145" s="45"/>
      <c r="E145" s="45"/>
      <c r="F145" s="56"/>
      <c r="G145" s="45"/>
      <c r="H145" s="45"/>
      <c r="I145" s="45"/>
      <c r="J145" s="45"/>
      <c r="K145" s="45"/>
    </row>
    <row r="146" spans="1:11" s="65" customFormat="1" ht="15.75" x14ac:dyDescent="0.25">
      <c r="A146" s="64"/>
      <c r="B146" s="44"/>
      <c r="C146" s="45"/>
      <c r="D146" s="45"/>
      <c r="E146" s="45"/>
      <c r="F146" s="56"/>
      <c r="G146" s="45"/>
      <c r="H146" s="45"/>
      <c r="I146" s="45"/>
      <c r="J146" s="45"/>
      <c r="K146" s="45"/>
    </row>
    <row r="147" spans="1:11" s="65" customFormat="1" ht="15.75" x14ac:dyDescent="0.25">
      <c r="A147" s="64"/>
      <c r="B147" s="44"/>
      <c r="C147" s="45"/>
      <c r="D147" s="45"/>
      <c r="E147" s="45"/>
      <c r="F147" s="56"/>
      <c r="G147" s="45"/>
      <c r="H147" s="45"/>
      <c r="I147" s="45"/>
      <c r="J147" s="45"/>
      <c r="K147" s="45"/>
    </row>
    <row r="148" spans="1:11" s="65" customFormat="1" ht="15.75" x14ac:dyDescent="0.25">
      <c r="A148" s="64"/>
      <c r="B148" s="44"/>
      <c r="C148" s="45"/>
      <c r="D148" s="45"/>
      <c r="E148" s="45"/>
      <c r="F148" s="56"/>
      <c r="G148" s="45"/>
      <c r="H148" s="45"/>
      <c r="I148" s="45"/>
      <c r="J148" s="45"/>
      <c r="K148" s="45"/>
    </row>
    <row r="149" spans="1:11" s="65" customFormat="1" ht="15.75" x14ac:dyDescent="0.25">
      <c r="A149" s="64"/>
      <c r="B149" s="44"/>
      <c r="C149" s="45"/>
      <c r="D149" s="45"/>
      <c r="E149" s="45"/>
      <c r="F149" s="56"/>
      <c r="G149" s="45"/>
      <c r="H149" s="45"/>
      <c r="I149" s="45"/>
      <c r="J149" s="45"/>
      <c r="K149" s="45"/>
    </row>
    <row r="150" spans="1:11" s="65" customFormat="1" ht="15.75" x14ac:dyDescent="0.25">
      <c r="A150" s="64"/>
      <c r="B150" s="44"/>
      <c r="C150" s="45"/>
      <c r="D150" s="45"/>
      <c r="E150" s="45"/>
      <c r="F150" s="56"/>
      <c r="G150" s="45"/>
      <c r="H150" s="45"/>
      <c r="I150" s="45"/>
      <c r="J150" s="45"/>
      <c r="K150" s="45"/>
    </row>
    <row r="151" spans="1:11" s="65" customFormat="1" ht="15.75" x14ac:dyDescent="0.25">
      <c r="A151" s="64"/>
      <c r="B151" s="44"/>
      <c r="C151" s="45"/>
      <c r="D151" s="45"/>
      <c r="E151" s="45"/>
      <c r="F151" s="56"/>
      <c r="G151" s="45"/>
      <c r="H151" s="45"/>
      <c r="I151" s="45"/>
      <c r="J151" s="45"/>
      <c r="K151" s="45"/>
    </row>
    <row r="152" spans="1:11" s="65" customFormat="1" ht="15.75" x14ac:dyDescent="0.25">
      <c r="A152" s="64"/>
      <c r="B152" s="44"/>
      <c r="C152" s="45"/>
      <c r="D152" s="45"/>
      <c r="E152" s="45"/>
      <c r="F152" s="56"/>
      <c r="G152" s="45"/>
      <c r="H152" s="45"/>
      <c r="I152" s="45"/>
      <c r="J152" s="45"/>
      <c r="K152" s="45"/>
    </row>
    <row r="153" spans="1:11" s="65" customFormat="1" ht="15.75" x14ac:dyDescent="0.25">
      <c r="A153" s="64"/>
      <c r="B153" s="44"/>
      <c r="C153" s="45"/>
      <c r="D153" s="45"/>
      <c r="E153" s="45"/>
      <c r="F153" s="56"/>
      <c r="G153" s="45"/>
      <c r="H153" s="45"/>
      <c r="I153" s="45"/>
      <c r="J153" s="45"/>
      <c r="K153" s="45"/>
    </row>
    <row r="154" spans="1:11" s="65" customFormat="1" ht="15.75" x14ac:dyDescent="0.25">
      <c r="A154" s="64"/>
      <c r="B154" s="44"/>
      <c r="C154" s="45"/>
      <c r="D154" s="45"/>
      <c r="E154" s="45"/>
      <c r="F154" s="56"/>
      <c r="G154" s="45"/>
      <c r="H154" s="45"/>
      <c r="I154" s="45"/>
      <c r="J154" s="45"/>
      <c r="K154" s="45"/>
    </row>
    <row r="155" spans="1:11" s="65" customFormat="1" ht="15.75" x14ac:dyDescent="0.25">
      <c r="A155" s="64"/>
      <c r="B155" s="44"/>
      <c r="C155" s="45"/>
      <c r="D155" s="45"/>
      <c r="E155" s="45"/>
      <c r="F155" s="56"/>
      <c r="G155" s="45"/>
      <c r="H155" s="45"/>
      <c r="I155" s="45"/>
      <c r="J155" s="45"/>
      <c r="K155" s="45"/>
    </row>
    <row r="156" spans="1:11" s="65" customFormat="1" ht="15.75" x14ac:dyDescent="0.25">
      <c r="A156" s="64"/>
      <c r="B156" s="44"/>
      <c r="C156" s="45"/>
      <c r="D156" s="45"/>
      <c r="E156" s="45"/>
      <c r="F156" s="56"/>
      <c r="G156" s="45"/>
      <c r="H156" s="45"/>
      <c r="I156" s="45"/>
      <c r="J156" s="45"/>
      <c r="K156" s="45"/>
    </row>
    <row r="157" spans="1:11" s="65" customFormat="1" ht="15.75" x14ac:dyDescent="0.25">
      <c r="A157" s="64"/>
      <c r="B157" s="44"/>
      <c r="C157" s="45"/>
      <c r="D157" s="45"/>
      <c r="E157" s="45"/>
      <c r="F157" s="56"/>
      <c r="G157" s="45"/>
      <c r="H157" s="45"/>
      <c r="I157" s="45"/>
      <c r="J157" s="45"/>
      <c r="K157" s="45"/>
    </row>
    <row r="158" spans="1:11" s="65" customFormat="1" ht="15.75" x14ac:dyDescent="0.25">
      <c r="A158" s="64"/>
      <c r="B158" s="44"/>
      <c r="C158" s="45"/>
      <c r="D158" s="45"/>
      <c r="E158" s="45"/>
      <c r="F158" s="56"/>
      <c r="G158" s="45"/>
      <c r="H158" s="45"/>
      <c r="I158" s="45"/>
      <c r="J158" s="45"/>
      <c r="K158" s="45"/>
    </row>
    <row r="159" spans="1:11" s="65" customFormat="1" ht="15.75" x14ac:dyDescent="0.25">
      <c r="A159" s="64"/>
      <c r="B159" s="44"/>
      <c r="C159" s="45"/>
      <c r="D159" s="45"/>
      <c r="E159" s="45"/>
      <c r="F159" s="56"/>
      <c r="G159" s="45"/>
      <c r="H159" s="45"/>
      <c r="I159" s="45"/>
      <c r="J159" s="45"/>
      <c r="K159" s="45"/>
    </row>
  </sheetData>
  <autoFilter ref="A1:K91">
    <sortState ref="A2:K114">
      <sortCondition ref="H1:H112"/>
    </sortState>
  </autoFilter>
  <conditionalFormatting sqref="D1:D1048576">
    <cfRule type="containsText" dxfId="14" priority="1" operator="containsText" text=",">
      <formula>NOT(ISERROR(SEARCH(",",D1)))</formula>
    </cfRule>
    <cfRule type="endsWith" dxfId="13" priority="2" operator="endsWith" text=" ">
      <formula>RIGHT(D1,LEN(" "))=" "</formula>
    </cfRule>
    <cfRule type="duplicateValues" dxfId="12" priority="3"/>
  </conditionalFormatting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rrectDSE">
                <anchor moveWithCells="1" sizeWithCells="1">
                  <from>
                    <xdr:col>3</xdr:col>
                    <xdr:colOff>38100</xdr:colOff>
                    <xdr:row>0</xdr:row>
                    <xdr:rowOff>57150</xdr:rowOff>
                  </from>
                  <to>
                    <xdr:col>3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K73"/>
  <sheetViews>
    <sheetView zoomScale="85" zoomScaleNormal="85" workbookViewId="0">
      <pane ySplit="1" topLeftCell="A35" activePane="bottomLeft" state="frozen"/>
      <selection pane="bottomLeft"/>
    </sheetView>
  </sheetViews>
  <sheetFormatPr defaultRowHeight="15.75" x14ac:dyDescent="0.25"/>
  <cols>
    <col min="1" max="1" width="5.28515625" style="64" customWidth="1"/>
    <col min="2" max="2" width="40.28515625" style="44" customWidth="1"/>
    <col min="3" max="3" width="46.5703125" style="45" bestFit="1" customWidth="1"/>
    <col min="4" max="4" width="44.85546875" style="45" customWidth="1"/>
    <col min="5" max="5" width="29.85546875" style="45" customWidth="1"/>
    <col min="6" max="6" width="9.42578125" style="45" customWidth="1"/>
    <col min="7" max="7" width="9.140625" style="45"/>
    <col min="8" max="8" width="24" style="45" customWidth="1"/>
    <col min="9" max="9" width="21.42578125" style="45" customWidth="1"/>
    <col min="10" max="10" width="9.28515625" style="17" customWidth="1"/>
    <col min="11" max="11" width="77.7109375" style="45" customWidth="1"/>
  </cols>
  <sheetData>
    <row r="1" spans="1:11" s="1" customFormat="1" ht="30" customHeight="1" thickBot="1" x14ac:dyDescent="0.3">
      <c r="A1" s="16" t="s">
        <v>0</v>
      </c>
      <c r="B1" s="15" t="s">
        <v>1</v>
      </c>
      <c r="C1" s="12" t="s">
        <v>2</v>
      </c>
      <c r="D1" s="12" t="s">
        <v>96</v>
      </c>
      <c r="E1" s="12" t="s">
        <v>3</v>
      </c>
      <c r="F1" s="13" t="s">
        <v>10</v>
      </c>
      <c r="G1" s="12" t="s">
        <v>4</v>
      </c>
      <c r="H1" s="12" t="s">
        <v>5</v>
      </c>
      <c r="I1" s="12" t="s">
        <v>6</v>
      </c>
      <c r="J1" s="13" t="s">
        <v>8</v>
      </c>
      <c r="K1" s="14" t="s">
        <v>7</v>
      </c>
    </row>
    <row r="2" spans="1:11" x14ac:dyDescent="0.25">
      <c r="A2" s="78">
        <f>ROW()-1</f>
        <v>1</v>
      </c>
      <c r="B2" s="74"/>
      <c r="C2" s="74"/>
      <c r="D2" s="28" t="s">
        <v>69</v>
      </c>
      <c r="E2" s="28" t="s">
        <v>70</v>
      </c>
      <c r="F2" s="40"/>
      <c r="G2" s="40"/>
      <c r="H2" s="41"/>
      <c r="I2" s="27" t="s">
        <v>40</v>
      </c>
      <c r="J2" s="22"/>
      <c r="K2" s="42" t="s">
        <v>91</v>
      </c>
    </row>
    <row r="3" spans="1:11" x14ac:dyDescent="0.25">
      <c r="A3" s="57">
        <f t="shared" ref="A3:A17" si="0">ROW()-1</f>
        <v>2</v>
      </c>
      <c r="B3" s="27"/>
      <c r="C3" s="45" t="s">
        <v>107</v>
      </c>
      <c r="D3" s="36" t="s">
        <v>71</v>
      </c>
      <c r="E3" s="4" t="s">
        <v>38</v>
      </c>
      <c r="F3" s="40" t="s">
        <v>16</v>
      </c>
      <c r="G3" s="40"/>
      <c r="H3" s="41"/>
      <c r="I3" s="41" t="s">
        <v>72</v>
      </c>
      <c r="J3" s="7"/>
      <c r="K3" s="42" t="s">
        <v>22</v>
      </c>
    </row>
    <row r="4" spans="1:11" x14ac:dyDescent="0.25">
      <c r="A4" s="57">
        <f t="shared" si="0"/>
        <v>3</v>
      </c>
      <c r="B4" s="27"/>
      <c r="C4" s="5" t="s">
        <v>230</v>
      </c>
      <c r="D4" s="36" t="s">
        <v>73</v>
      </c>
      <c r="E4" s="4" t="s">
        <v>38</v>
      </c>
      <c r="F4" s="40"/>
      <c r="G4" s="40"/>
      <c r="H4" s="41"/>
      <c r="I4" s="27" t="s">
        <v>40</v>
      </c>
      <c r="J4" s="7"/>
      <c r="K4" s="77" t="s">
        <v>93</v>
      </c>
    </row>
    <row r="5" spans="1:11" x14ac:dyDescent="0.25">
      <c r="A5" s="57">
        <f t="shared" si="0"/>
        <v>4</v>
      </c>
      <c r="B5" s="74" t="s">
        <v>11</v>
      </c>
      <c r="C5" s="45" t="s">
        <v>107</v>
      </c>
      <c r="D5" s="4" t="s">
        <v>74</v>
      </c>
      <c r="E5" s="4" t="s">
        <v>75</v>
      </c>
      <c r="F5" s="31"/>
      <c r="G5" s="31"/>
      <c r="H5" s="35"/>
      <c r="I5" s="3" t="s">
        <v>40</v>
      </c>
      <c r="J5" s="7"/>
      <c r="K5" s="43"/>
    </row>
    <row r="6" spans="1:11" x14ac:dyDescent="0.25">
      <c r="A6" s="57">
        <f t="shared" si="0"/>
        <v>5</v>
      </c>
      <c r="B6" s="27" t="s">
        <v>11</v>
      </c>
      <c r="C6" s="45" t="s">
        <v>107</v>
      </c>
      <c r="D6" s="4" t="s">
        <v>77</v>
      </c>
      <c r="E6" s="4" t="s">
        <v>38</v>
      </c>
      <c r="F6" s="31"/>
      <c r="G6" s="31"/>
      <c r="H6" s="35" t="s">
        <v>76</v>
      </c>
      <c r="I6" s="3"/>
      <c r="J6" s="7"/>
      <c r="K6" s="67"/>
    </row>
    <row r="7" spans="1:11" x14ac:dyDescent="0.25">
      <c r="A7" s="57">
        <f t="shared" si="0"/>
        <v>6</v>
      </c>
      <c r="B7" s="27" t="s">
        <v>11</v>
      </c>
      <c r="C7" s="45" t="s">
        <v>107</v>
      </c>
      <c r="D7" s="4" t="s">
        <v>78</v>
      </c>
      <c r="E7" s="4" t="s">
        <v>38</v>
      </c>
      <c r="F7" s="31"/>
      <c r="G7" s="31"/>
      <c r="H7" s="35" t="s">
        <v>76</v>
      </c>
      <c r="I7" s="3" t="s">
        <v>40</v>
      </c>
      <c r="J7" s="7"/>
      <c r="K7" s="67"/>
    </row>
    <row r="8" spans="1:11" x14ac:dyDescent="0.25">
      <c r="A8" s="57">
        <f t="shared" si="0"/>
        <v>7</v>
      </c>
      <c r="B8" s="27" t="s">
        <v>11</v>
      </c>
      <c r="C8" s="45" t="s">
        <v>107</v>
      </c>
      <c r="D8" s="4" t="s">
        <v>79</v>
      </c>
      <c r="E8" s="4" t="s">
        <v>46</v>
      </c>
      <c r="F8" s="31"/>
      <c r="G8" s="31"/>
      <c r="H8" s="35" t="s">
        <v>76</v>
      </c>
      <c r="I8" s="3" t="s">
        <v>72</v>
      </c>
      <c r="J8" s="7"/>
      <c r="K8" s="82" t="s">
        <v>92</v>
      </c>
    </row>
    <row r="9" spans="1:11" x14ac:dyDescent="0.25">
      <c r="A9" s="57">
        <f t="shared" si="0"/>
        <v>8</v>
      </c>
      <c r="B9" s="27" t="s">
        <v>25</v>
      </c>
      <c r="C9" s="45" t="s">
        <v>107</v>
      </c>
      <c r="D9" s="4" t="s">
        <v>80</v>
      </c>
      <c r="E9" s="4" t="s">
        <v>21</v>
      </c>
      <c r="F9" s="31"/>
      <c r="G9" s="31"/>
      <c r="H9" s="35" t="s">
        <v>76</v>
      </c>
      <c r="I9" s="3"/>
      <c r="J9" s="7"/>
      <c r="K9" s="67"/>
    </row>
    <row r="10" spans="1:11" x14ac:dyDescent="0.25">
      <c r="A10" s="57">
        <f t="shared" si="0"/>
        <v>9</v>
      </c>
      <c r="B10" s="27" t="s">
        <v>11</v>
      </c>
      <c r="C10" s="45" t="s">
        <v>107</v>
      </c>
      <c r="D10" s="4" t="s">
        <v>81</v>
      </c>
      <c r="E10" s="4" t="s">
        <v>82</v>
      </c>
      <c r="F10" s="31"/>
      <c r="G10" s="31"/>
      <c r="H10" s="35" t="s">
        <v>76</v>
      </c>
      <c r="I10" s="3"/>
      <c r="J10" s="7"/>
      <c r="K10" s="67"/>
    </row>
    <row r="11" spans="1:11" x14ac:dyDescent="0.25">
      <c r="A11" s="57">
        <f t="shared" si="0"/>
        <v>10</v>
      </c>
      <c r="B11" s="27" t="s">
        <v>11</v>
      </c>
      <c r="C11" s="45" t="s">
        <v>107</v>
      </c>
      <c r="D11" s="4" t="s">
        <v>83</v>
      </c>
      <c r="E11" s="4" t="s">
        <v>82</v>
      </c>
      <c r="F11" s="31"/>
      <c r="G11" s="31"/>
      <c r="H11" s="35" t="s">
        <v>76</v>
      </c>
      <c r="I11" s="3"/>
      <c r="J11" s="7"/>
      <c r="K11" s="67"/>
    </row>
    <row r="12" spans="1:11" x14ac:dyDescent="0.25">
      <c r="A12" s="57">
        <f>ROW()-1</f>
        <v>11</v>
      </c>
      <c r="B12" s="27" t="s">
        <v>11</v>
      </c>
      <c r="C12" s="45" t="s">
        <v>107</v>
      </c>
      <c r="D12" s="4" t="s">
        <v>84</v>
      </c>
      <c r="E12" s="4" t="s">
        <v>38</v>
      </c>
      <c r="F12" s="31"/>
      <c r="G12" s="31"/>
      <c r="H12" s="35" t="s">
        <v>76</v>
      </c>
      <c r="I12" s="3"/>
      <c r="J12" s="7"/>
      <c r="K12" s="67"/>
    </row>
    <row r="13" spans="1:11" x14ac:dyDescent="0.25">
      <c r="A13" s="57">
        <f t="shared" ref="A13" si="1">ROW()-1</f>
        <v>12</v>
      </c>
      <c r="B13" s="7" t="s">
        <v>165</v>
      </c>
      <c r="C13" s="45" t="s">
        <v>107</v>
      </c>
      <c r="D13" s="38" t="s">
        <v>102</v>
      </c>
      <c r="E13" s="38" t="s">
        <v>38</v>
      </c>
      <c r="F13" s="7"/>
      <c r="G13" s="11"/>
      <c r="H13" s="39"/>
      <c r="I13" s="23"/>
      <c r="J13" s="7"/>
      <c r="K13" s="42" t="s">
        <v>22</v>
      </c>
    </row>
    <row r="14" spans="1:11" x14ac:dyDescent="0.25">
      <c r="A14" s="57">
        <f t="shared" si="0"/>
        <v>13</v>
      </c>
      <c r="B14" s="74"/>
      <c r="C14" s="74"/>
      <c r="D14" s="10" t="s">
        <v>85</v>
      </c>
      <c r="E14" s="3" t="s">
        <v>86</v>
      </c>
      <c r="F14" s="31"/>
      <c r="G14" s="31"/>
      <c r="H14" s="35"/>
      <c r="I14" s="3" t="s">
        <v>40</v>
      </c>
      <c r="J14" s="7"/>
      <c r="K14" s="43"/>
    </row>
    <row r="15" spans="1:11" x14ac:dyDescent="0.25">
      <c r="A15" s="57">
        <f t="shared" si="0"/>
        <v>14</v>
      </c>
      <c r="B15" s="74"/>
      <c r="C15" s="5"/>
      <c r="D15" s="6" t="s">
        <v>87</v>
      </c>
      <c r="E15" s="6" t="s">
        <v>88</v>
      </c>
      <c r="F15" s="31"/>
      <c r="G15" s="31"/>
      <c r="H15" s="35"/>
      <c r="I15" s="3"/>
      <c r="J15" s="7"/>
      <c r="K15" s="68" t="s">
        <v>94</v>
      </c>
    </row>
    <row r="16" spans="1:11" x14ac:dyDescent="0.25">
      <c r="A16" s="57">
        <f t="shared" si="0"/>
        <v>15</v>
      </c>
      <c r="B16" s="74"/>
      <c r="C16" s="5"/>
      <c r="D16" s="6" t="s">
        <v>89</v>
      </c>
      <c r="E16" s="6" t="s">
        <v>90</v>
      </c>
      <c r="F16" s="31"/>
      <c r="G16" s="31"/>
      <c r="H16" s="35"/>
      <c r="I16" s="3"/>
      <c r="J16" s="7"/>
      <c r="K16" s="68"/>
    </row>
    <row r="17" spans="1:11" x14ac:dyDescent="0.25">
      <c r="A17" s="57">
        <f t="shared" si="0"/>
        <v>16</v>
      </c>
      <c r="B17" s="75" t="s">
        <v>34</v>
      </c>
      <c r="C17" s="76" t="s">
        <v>97</v>
      </c>
      <c r="D17" s="38" t="s">
        <v>98</v>
      </c>
      <c r="E17" s="38" t="s">
        <v>90</v>
      </c>
      <c r="F17" s="7"/>
      <c r="G17" s="11"/>
      <c r="H17" s="23"/>
      <c r="I17" s="7"/>
      <c r="J17" s="7"/>
      <c r="K17" s="7"/>
    </row>
    <row r="18" spans="1:11" x14ac:dyDescent="0.25">
      <c r="A18" s="57">
        <f t="shared" ref="A18:A19" si="2">ROW()-1</f>
        <v>17</v>
      </c>
      <c r="B18" s="7" t="s">
        <v>106</v>
      </c>
      <c r="C18" s="38"/>
      <c r="D18" s="63" t="s">
        <v>103</v>
      </c>
      <c r="E18" s="63" t="s">
        <v>104</v>
      </c>
      <c r="F18" s="7"/>
      <c r="G18" s="11"/>
      <c r="H18" s="23"/>
      <c r="I18" s="23"/>
      <c r="J18" s="7" t="s">
        <v>31</v>
      </c>
      <c r="K18" s="7"/>
    </row>
    <row r="19" spans="1:11" x14ac:dyDescent="0.25">
      <c r="A19" s="57">
        <f t="shared" si="2"/>
        <v>18</v>
      </c>
      <c r="B19" s="7" t="s">
        <v>106</v>
      </c>
      <c r="C19" s="38"/>
      <c r="D19" s="63" t="s">
        <v>105</v>
      </c>
      <c r="E19" s="63" t="s">
        <v>104</v>
      </c>
      <c r="F19" s="7"/>
      <c r="G19" s="11"/>
      <c r="H19" s="23"/>
      <c r="I19" s="23"/>
      <c r="J19" s="7" t="s">
        <v>31</v>
      </c>
      <c r="K19" s="7"/>
    </row>
    <row r="20" spans="1:11" x14ac:dyDescent="0.25">
      <c r="A20" s="20">
        <f t="shared" ref="A20" si="3">ROW()-1</f>
        <v>19</v>
      </c>
      <c r="B20" s="7" t="s">
        <v>34</v>
      </c>
      <c r="C20" s="7" t="s">
        <v>116</v>
      </c>
      <c r="D20" s="66" t="s">
        <v>115</v>
      </c>
      <c r="E20" s="66" t="s">
        <v>36</v>
      </c>
      <c r="F20" s="25"/>
      <c r="G20" s="11"/>
      <c r="H20" s="23"/>
      <c r="I20" s="7"/>
      <c r="J20" s="7"/>
      <c r="K20" s="7"/>
    </row>
    <row r="21" spans="1:11" x14ac:dyDescent="0.25">
      <c r="A21" s="57">
        <f t="shared" ref="A21:A25" si="4">ROW()-1</f>
        <v>20</v>
      </c>
      <c r="B21" s="24" t="s">
        <v>34</v>
      </c>
      <c r="C21" s="7"/>
      <c r="D21" s="66" t="s">
        <v>139</v>
      </c>
      <c r="E21" s="66" t="s">
        <v>38</v>
      </c>
      <c r="F21" s="63"/>
      <c r="G21" s="63"/>
      <c r="H21" s="63"/>
      <c r="I21" s="63"/>
      <c r="J21" s="69"/>
      <c r="K21" s="63" t="s">
        <v>141</v>
      </c>
    </row>
    <row r="22" spans="1:11" x14ac:dyDescent="0.25">
      <c r="A22" s="57">
        <f t="shared" si="4"/>
        <v>21</v>
      </c>
      <c r="B22" s="24" t="s">
        <v>34</v>
      </c>
      <c r="C22" s="7"/>
      <c r="D22" s="66" t="s">
        <v>140</v>
      </c>
      <c r="E22" s="66" t="s">
        <v>82</v>
      </c>
      <c r="F22" s="63"/>
      <c r="G22" s="63"/>
      <c r="H22" s="63"/>
      <c r="I22" s="63"/>
      <c r="J22" s="69"/>
      <c r="K22" s="63" t="s">
        <v>141</v>
      </c>
    </row>
    <row r="23" spans="1:11" x14ac:dyDescent="0.25">
      <c r="A23" s="57">
        <f t="shared" si="4"/>
        <v>22</v>
      </c>
      <c r="B23" s="24" t="s">
        <v>34</v>
      </c>
      <c r="C23" s="7" t="s">
        <v>148</v>
      </c>
      <c r="D23" s="66" t="s">
        <v>143</v>
      </c>
      <c r="E23" s="66" t="s">
        <v>144</v>
      </c>
      <c r="F23" s="63"/>
      <c r="G23" s="63"/>
      <c r="H23" s="63"/>
      <c r="I23" s="63"/>
      <c r="J23" s="69"/>
      <c r="K23" s="63"/>
    </row>
    <row r="24" spans="1:11" x14ac:dyDescent="0.25">
      <c r="A24" s="57">
        <f t="shared" si="4"/>
        <v>23</v>
      </c>
      <c r="B24" s="24" t="s">
        <v>34</v>
      </c>
      <c r="C24" s="7" t="s">
        <v>148</v>
      </c>
      <c r="D24" s="66" t="s">
        <v>145</v>
      </c>
      <c r="E24" s="66" t="s">
        <v>38</v>
      </c>
      <c r="F24" s="63"/>
      <c r="G24" s="63"/>
      <c r="H24" s="63"/>
      <c r="I24" s="63"/>
      <c r="J24" s="69"/>
      <c r="K24" s="63"/>
    </row>
    <row r="25" spans="1:11" x14ac:dyDescent="0.25">
      <c r="A25" s="57">
        <f t="shared" si="4"/>
        <v>24</v>
      </c>
      <c r="B25" s="24" t="s">
        <v>34</v>
      </c>
      <c r="C25" s="7" t="s">
        <v>148</v>
      </c>
      <c r="D25" s="66" t="s">
        <v>146</v>
      </c>
      <c r="E25" s="66" t="s">
        <v>147</v>
      </c>
      <c r="F25" s="63"/>
      <c r="G25" s="63"/>
      <c r="H25" s="63"/>
      <c r="I25" s="63"/>
      <c r="J25" s="69"/>
      <c r="K25" s="63"/>
    </row>
    <row r="26" spans="1:11" s="73" customFormat="1" x14ac:dyDescent="0.25">
      <c r="A26" s="57">
        <f t="shared" ref="A26:A57" si="5">ROW()-1</f>
        <v>25</v>
      </c>
      <c r="B26" s="72" t="s">
        <v>34</v>
      </c>
      <c r="C26" s="45" t="s">
        <v>107</v>
      </c>
      <c r="D26" s="53" t="s">
        <v>202</v>
      </c>
      <c r="E26" s="53" t="s">
        <v>203</v>
      </c>
      <c r="F26" s="55"/>
      <c r="G26" s="55"/>
      <c r="H26" s="55"/>
      <c r="I26" s="55"/>
      <c r="J26" s="7" t="s">
        <v>33</v>
      </c>
      <c r="K26" s="55"/>
    </row>
    <row r="27" spans="1:11" s="73" customFormat="1" x14ac:dyDescent="0.25">
      <c r="A27" s="57">
        <f t="shared" si="5"/>
        <v>26</v>
      </c>
      <c r="B27" s="72" t="s">
        <v>34</v>
      </c>
      <c r="C27" s="45" t="s">
        <v>107</v>
      </c>
      <c r="D27" s="53" t="s">
        <v>204</v>
      </c>
      <c r="E27" s="53" t="s">
        <v>205</v>
      </c>
      <c r="F27" s="55"/>
      <c r="G27" s="55"/>
      <c r="H27" s="55"/>
      <c r="I27" s="55" t="s">
        <v>72</v>
      </c>
      <c r="J27" s="7" t="s">
        <v>33</v>
      </c>
      <c r="K27" s="55"/>
    </row>
    <row r="28" spans="1:11" s="73" customFormat="1" x14ac:dyDescent="0.25">
      <c r="A28" s="57">
        <f t="shared" si="5"/>
        <v>27</v>
      </c>
      <c r="B28" s="72" t="s">
        <v>34</v>
      </c>
      <c r="C28" s="45" t="s">
        <v>107</v>
      </c>
      <c r="D28" s="53" t="s">
        <v>206</v>
      </c>
      <c r="E28" s="53" t="s">
        <v>207</v>
      </c>
      <c r="F28" s="55"/>
      <c r="G28" s="55"/>
      <c r="H28" s="55"/>
      <c r="I28" s="55" t="s">
        <v>72</v>
      </c>
      <c r="J28" s="7" t="s">
        <v>33</v>
      </c>
      <c r="K28" s="55"/>
    </row>
    <row r="29" spans="1:11" s="73" customFormat="1" x14ac:dyDescent="0.25">
      <c r="A29" s="57">
        <f t="shared" si="5"/>
        <v>28</v>
      </c>
      <c r="B29" s="72" t="s">
        <v>34</v>
      </c>
      <c r="C29" s="45" t="s">
        <v>107</v>
      </c>
      <c r="D29" s="53" t="s">
        <v>208</v>
      </c>
      <c r="E29" s="53" t="s">
        <v>205</v>
      </c>
      <c r="F29" s="55"/>
      <c r="G29" s="55"/>
      <c r="H29" s="55"/>
      <c r="I29" s="55" t="s">
        <v>72</v>
      </c>
      <c r="J29" s="7" t="s">
        <v>33</v>
      </c>
      <c r="K29" s="55"/>
    </row>
    <row r="30" spans="1:11" s="73" customFormat="1" x14ac:dyDescent="0.25">
      <c r="A30" s="57">
        <f t="shared" si="5"/>
        <v>29</v>
      </c>
      <c r="B30" s="72" t="s">
        <v>34</v>
      </c>
      <c r="C30" s="45" t="s">
        <v>107</v>
      </c>
      <c r="D30" s="53" t="s">
        <v>209</v>
      </c>
      <c r="E30" s="53" t="s">
        <v>207</v>
      </c>
      <c r="F30" s="55"/>
      <c r="G30" s="55"/>
      <c r="H30" s="55"/>
      <c r="I30" s="55" t="s">
        <v>72</v>
      </c>
      <c r="J30" s="7" t="s">
        <v>33</v>
      </c>
      <c r="K30" s="55"/>
    </row>
    <row r="31" spans="1:11" s="73" customFormat="1" x14ac:dyDescent="0.25">
      <c r="A31" s="57">
        <f t="shared" si="5"/>
        <v>30</v>
      </c>
      <c r="B31" s="72" t="s">
        <v>34</v>
      </c>
      <c r="C31" s="45" t="s">
        <v>107</v>
      </c>
      <c r="D31" s="53" t="s">
        <v>210</v>
      </c>
      <c r="E31" s="53" t="s">
        <v>151</v>
      </c>
      <c r="F31" s="55"/>
      <c r="G31" s="55"/>
      <c r="H31" s="55"/>
      <c r="I31" s="53" t="s">
        <v>40</v>
      </c>
      <c r="J31" s="7" t="s">
        <v>33</v>
      </c>
      <c r="K31" s="45" t="s">
        <v>232</v>
      </c>
    </row>
    <row r="32" spans="1:11" s="73" customFormat="1" x14ac:dyDescent="0.25">
      <c r="A32" s="57">
        <f t="shared" si="5"/>
        <v>31</v>
      </c>
      <c r="B32" s="72" t="s">
        <v>34</v>
      </c>
      <c r="C32" s="45" t="s">
        <v>107</v>
      </c>
      <c r="D32" s="55" t="s">
        <v>211</v>
      </c>
      <c r="E32" s="55"/>
      <c r="F32" s="61" t="s">
        <v>19</v>
      </c>
      <c r="G32" s="61">
        <v>2</v>
      </c>
      <c r="H32" s="80">
        <v>45882</v>
      </c>
      <c r="I32" s="55" t="s">
        <v>72</v>
      </c>
      <c r="J32" s="7" t="s">
        <v>33</v>
      </c>
      <c r="K32" s="55"/>
    </row>
    <row r="33" spans="1:11" s="73" customFormat="1" x14ac:dyDescent="0.25">
      <c r="A33" s="57">
        <f t="shared" si="5"/>
        <v>32</v>
      </c>
      <c r="B33" s="72" t="s">
        <v>34</v>
      </c>
      <c r="C33" s="45" t="s">
        <v>107</v>
      </c>
      <c r="D33" s="55" t="s">
        <v>212</v>
      </c>
      <c r="E33" s="55"/>
      <c r="F33" s="61" t="s">
        <v>19</v>
      </c>
      <c r="G33" s="61">
        <v>2</v>
      </c>
      <c r="H33" s="80">
        <v>45882</v>
      </c>
      <c r="I33" s="55" t="s">
        <v>72</v>
      </c>
      <c r="J33" s="7" t="s">
        <v>33</v>
      </c>
      <c r="K33" s="55"/>
    </row>
    <row r="34" spans="1:11" s="73" customFormat="1" x14ac:dyDescent="0.25">
      <c r="A34" s="57">
        <f t="shared" si="5"/>
        <v>33</v>
      </c>
      <c r="B34" s="72" t="s">
        <v>34</v>
      </c>
      <c r="C34" s="45" t="s">
        <v>107</v>
      </c>
      <c r="D34" s="53" t="s">
        <v>213</v>
      </c>
      <c r="E34" s="53"/>
      <c r="F34" s="55"/>
      <c r="G34" s="55"/>
      <c r="H34" s="55"/>
      <c r="I34" s="55"/>
      <c r="J34" s="7" t="s">
        <v>33</v>
      </c>
      <c r="K34" s="55"/>
    </row>
    <row r="35" spans="1:11" s="73" customFormat="1" x14ac:dyDescent="0.25">
      <c r="A35" s="57">
        <f t="shared" si="5"/>
        <v>34</v>
      </c>
      <c r="B35" s="72" t="s">
        <v>313</v>
      </c>
      <c r="C35" s="45" t="s">
        <v>107</v>
      </c>
      <c r="D35" s="72" t="s">
        <v>324</v>
      </c>
      <c r="E35" s="55" t="s">
        <v>82</v>
      </c>
      <c r="F35" s="61"/>
      <c r="G35" s="61"/>
      <c r="H35" s="70"/>
      <c r="I35" s="55"/>
      <c r="J35" s="7" t="s">
        <v>33</v>
      </c>
      <c r="K35" s="45" t="s">
        <v>156</v>
      </c>
    </row>
    <row r="36" spans="1:11" s="73" customFormat="1" x14ac:dyDescent="0.25">
      <c r="A36" s="57">
        <f t="shared" si="5"/>
        <v>35</v>
      </c>
      <c r="B36" s="58" t="s">
        <v>157</v>
      </c>
      <c r="C36" s="45" t="s">
        <v>107</v>
      </c>
      <c r="D36" s="45" t="s">
        <v>500</v>
      </c>
      <c r="E36" s="45" t="s">
        <v>501</v>
      </c>
      <c r="F36" s="61" t="s">
        <v>19</v>
      </c>
      <c r="G36" s="61">
        <v>1</v>
      </c>
      <c r="H36" s="80">
        <v>45869</v>
      </c>
      <c r="I36" s="55" t="s">
        <v>72</v>
      </c>
      <c r="J36" s="7" t="s">
        <v>33</v>
      </c>
      <c r="K36" s="55" t="s">
        <v>528</v>
      </c>
    </row>
    <row r="37" spans="1:11" s="73" customFormat="1" x14ac:dyDescent="0.25">
      <c r="A37" s="57">
        <f t="shared" si="5"/>
        <v>36</v>
      </c>
      <c r="B37" s="58" t="s">
        <v>157</v>
      </c>
      <c r="C37" s="45" t="s">
        <v>107</v>
      </c>
      <c r="D37" s="45" t="s">
        <v>502</v>
      </c>
      <c r="E37" s="45" t="s">
        <v>38</v>
      </c>
      <c r="F37" s="61" t="s">
        <v>19</v>
      </c>
      <c r="G37" s="61">
        <v>1</v>
      </c>
      <c r="H37" s="80">
        <v>45869</v>
      </c>
      <c r="I37" s="55" t="s">
        <v>72</v>
      </c>
      <c r="J37" s="7" t="s">
        <v>33</v>
      </c>
      <c r="K37" s="55" t="s">
        <v>528</v>
      </c>
    </row>
    <row r="38" spans="1:11" s="73" customFormat="1" x14ac:dyDescent="0.25">
      <c r="A38" s="57">
        <f t="shared" si="5"/>
        <v>37</v>
      </c>
      <c r="B38" s="58" t="s">
        <v>34</v>
      </c>
      <c r="C38" s="45" t="s">
        <v>107</v>
      </c>
      <c r="D38" s="45" t="s">
        <v>503</v>
      </c>
      <c r="E38" s="45" t="s">
        <v>150</v>
      </c>
      <c r="F38" s="61" t="s">
        <v>19</v>
      </c>
      <c r="G38" s="61">
        <v>2</v>
      </c>
      <c r="H38" s="80">
        <v>45876</v>
      </c>
      <c r="I38" s="55" t="s">
        <v>72</v>
      </c>
      <c r="J38" s="7" t="s">
        <v>33</v>
      </c>
      <c r="K38" s="55" t="s">
        <v>528</v>
      </c>
    </row>
    <row r="39" spans="1:11" s="73" customFormat="1" x14ac:dyDescent="0.25">
      <c r="A39" s="57">
        <f t="shared" si="5"/>
        <v>38</v>
      </c>
      <c r="B39" s="58" t="s">
        <v>157</v>
      </c>
      <c r="C39" s="45" t="s">
        <v>107</v>
      </c>
      <c r="D39" s="45" t="s">
        <v>504</v>
      </c>
      <c r="E39" s="45" t="s">
        <v>336</v>
      </c>
      <c r="F39" s="46" t="s">
        <v>19</v>
      </c>
      <c r="G39" s="46">
        <v>1</v>
      </c>
      <c r="H39" s="80">
        <v>45868</v>
      </c>
      <c r="I39" s="55" t="s">
        <v>40</v>
      </c>
      <c r="J39" s="7" t="s">
        <v>33</v>
      </c>
      <c r="K39" s="55" t="s">
        <v>528</v>
      </c>
    </row>
    <row r="40" spans="1:11" s="73" customFormat="1" x14ac:dyDescent="0.25">
      <c r="A40" s="57">
        <f t="shared" si="5"/>
        <v>39</v>
      </c>
      <c r="B40" s="58" t="s">
        <v>157</v>
      </c>
      <c r="C40" s="45" t="s">
        <v>107</v>
      </c>
      <c r="D40" s="45" t="s">
        <v>505</v>
      </c>
      <c r="E40" s="45" t="s">
        <v>38</v>
      </c>
      <c r="F40" s="61" t="s">
        <v>19</v>
      </c>
      <c r="G40" s="61">
        <v>1</v>
      </c>
      <c r="H40" s="80">
        <v>45869</v>
      </c>
      <c r="I40" s="55" t="s">
        <v>72</v>
      </c>
      <c r="J40" s="7" t="s">
        <v>33</v>
      </c>
      <c r="K40" s="55" t="s">
        <v>528</v>
      </c>
    </row>
    <row r="41" spans="1:11" s="73" customFormat="1" x14ac:dyDescent="0.25">
      <c r="A41" s="57">
        <f t="shared" si="5"/>
        <v>40</v>
      </c>
      <c r="B41" s="58" t="s">
        <v>157</v>
      </c>
      <c r="C41" s="45" t="s">
        <v>107</v>
      </c>
      <c r="D41" s="45" t="s">
        <v>506</v>
      </c>
      <c r="E41" s="45" t="s">
        <v>38</v>
      </c>
      <c r="F41" s="61" t="s">
        <v>19</v>
      </c>
      <c r="G41" s="61">
        <v>1</v>
      </c>
      <c r="H41" s="80">
        <v>45871</v>
      </c>
      <c r="I41" s="55" t="s">
        <v>72</v>
      </c>
      <c r="J41" s="7" t="s">
        <v>33</v>
      </c>
      <c r="K41" s="55" t="s">
        <v>528</v>
      </c>
    </row>
    <row r="42" spans="1:11" s="73" customFormat="1" x14ac:dyDescent="0.25">
      <c r="A42" s="57">
        <f t="shared" si="5"/>
        <v>41</v>
      </c>
      <c r="B42" s="58" t="s">
        <v>34</v>
      </c>
      <c r="C42" s="45" t="s">
        <v>107</v>
      </c>
      <c r="D42" s="45" t="s">
        <v>507</v>
      </c>
      <c r="E42" s="45" t="s">
        <v>57</v>
      </c>
      <c r="F42" s="61" t="s">
        <v>19</v>
      </c>
      <c r="G42" s="61">
        <v>1</v>
      </c>
      <c r="H42" s="80">
        <v>45876</v>
      </c>
      <c r="I42" s="55" t="s">
        <v>40</v>
      </c>
      <c r="J42" s="7" t="s">
        <v>33</v>
      </c>
      <c r="K42" s="55" t="s">
        <v>528</v>
      </c>
    </row>
    <row r="43" spans="1:11" s="73" customFormat="1" x14ac:dyDescent="0.25">
      <c r="A43" s="57">
        <f t="shared" si="5"/>
        <v>42</v>
      </c>
      <c r="B43" s="58" t="s">
        <v>157</v>
      </c>
      <c r="C43" s="45" t="s">
        <v>107</v>
      </c>
      <c r="D43" s="45" t="s">
        <v>508</v>
      </c>
      <c r="E43" s="45" t="s">
        <v>38</v>
      </c>
      <c r="F43" s="61" t="s">
        <v>19</v>
      </c>
      <c r="G43" s="61">
        <v>1</v>
      </c>
      <c r="H43" s="80">
        <v>45871</v>
      </c>
      <c r="I43" s="55" t="s">
        <v>72</v>
      </c>
      <c r="J43" s="7" t="s">
        <v>33</v>
      </c>
      <c r="K43" s="55" t="s">
        <v>528</v>
      </c>
    </row>
    <row r="44" spans="1:11" s="73" customFormat="1" x14ac:dyDescent="0.25">
      <c r="A44" s="57">
        <f t="shared" si="5"/>
        <v>43</v>
      </c>
      <c r="B44" s="58" t="s">
        <v>157</v>
      </c>
      <c r="C44" s="45" t="s">
        <v>107</v>
      </c>
      <c r="D44" s="45" t="s">
        <v>509</v>
      </c>
      <c r="E44" s="45" t="s">
        <v>38</v>
      </c>
      <c r="F44" s="61" t="s">
        <v>19</v>
      </c>
      <c r="G44" s="61">
        <v>1</v>
      </c>
      <c r="H44" s="80">
        <v>45869</v>
      </c>
      <c r="I44" s="55" t="s">
        <v>72</v>
      </c>
      <c r="J44" s="7" t="s">
        <v>33</v>
      </c>
      <c r="K44" s="55" t="s">
        <v>528</v>
      </c>
    </row>
    <row r="45" spans="1:11" s="73" customFormat="1" x14ac:dyDescent="0.25">
      <c r="A45" s="57">
        <f t="shared" si="5"/>
        <v>44</v>
      </c>
      <c r="B45" s="58" t="s">
        <v>157</v>
      </c>
      <c r="C45" s="45" t="s">
        <v>107</v>
      </c>
      <c r="D45" s="45" t="s">
        <v>510</v>
      </c>
      <c r="E45" s="45" t="s">
        <v>82</v>
      </c>
      <c r="F45" s="61" t="s">
        <v>19</v>
      </c>
      <c r="G45" s="61">
        <v>1</v>
      </c>
      <c r="H45" s="80">
        <v>45871</v>
      </c>
      <c r="I45" s="55" t="s">
        <v>72</v>
      </c>
      <c r="J45" s="7" t="s">
        <v>33</v>
      </c>
      <c r="K45" s="55" t="s">
        <v>528</v>
      </c>
    </row>
    <row r="46" spans="1:11" s="73" customFormat="1" x14ac:dyDescent="0.25">
      <c r="A46" s="57">
        <f t="shared" si="5"/>
        <v>45</v>
      </c>
      <c r="B46" s="58" t="s">
        <v>157</v>
      </c>
      <c r="C46" s="45" t="s">
        <v>107</v>
      </c>
      <c r="D46" s="45" t="s">
        <v>511</v>
      </c>
      <c r="E46" s="45" t="s">
        <v>38</v>
      </c>
      <c r="F46" s="61" t="s">
        <v>19</v>
      </c>
      <c r="G46" s="61">
        <v>1</v>
      </c>
      <c r="H46" s="80">
        <v>45869</v>
      </c>
      <c r="I46" s="55" t="s">
        <v>72</v>
      </c>
      <c r="J46" s="7" t="s">
        <v>33</v>
      </c>
      <c r="K46" s="55" t="s">
        <v>528</v>
      </c>
    </row>
    <row r="47" spans="1:11" s="73" customFormat="1" x14ac:dyDescent="0.25">
      <c r="A47" s="57">
        <f t="shared" si="5"/>
        <v>46</v>
      </c>
      <c r="B47" s="72" t="s">
        <v>34</v>
      </c>
      <c r="C47" s="45" t="s">
        <v>107</v>
      </c>
      <c r="D47" s="55" t="s">
        <v>512</v>
      </c>
      <c r="E47" s="55" t="s">
        <v>245</v>
      </c>
      <c r="F47" s="61" t="s">
        <v>19</v>
      </c>
      <c r="G47" s="61">
        <v>1</v>
      </c>
      <c r="H47" s="80">
        <v>45881</v>
      </c>
      <c r="I47" s="55" t="s">
        <v>72</v>
      </c>
      <c r="J47" s="7" t="s">
        <v>33</v>
      </c>
      <c r="K47" s="55" t="s">
        <v>528</v>
      </c>
    </row>
    <row r="48" spans="1:11" s="73" customFormat="1" x14ac:dyDescent="0.25">
      <c r="A48" s="57">
        <f t="shared" si="5"/>
        <v>47</v>
      </c>
      <c r="B48" s="58" t="s">
        <v>157</v>
      </c>
      <c r="C48" s="45" t="s">
        <v>107</v>
      </c>
      <c r="D48" s="45" t="s">
        <v>513</v>
      </c>
      <c r="E48" s="45" t="s">
        <v>57</v>
      </c>
      <c r="F48" s="61" t="s">
        <v>19</v>
      </c>
      <c r="G48" s="61">
        <v>1</v>
      </c>
      <c r="H48" s="80">
        <v>45871</v>
      </c>
      <c r="I48" s="55" t="s">
        <v>72</v>
      </c>
      <c r="J48" s="7" t="s">
        <v>33</v>
      </c>
      <c r="K48" s="55" t="s">
        <v>528</v>
      </c>
    </row>
    <row r="49" spans="1:11" s="73" customFormat="1" x14ac:dyDescent="0.25">
      <c r="A49" s="57">
        <f t="shared" si="5"/>
        <v>48</v>
      </c>
      <c r="B49" s="59" t="s">
        <v>34</v>
      </c>
      <c r="C49" s="45" t="s">
        <v>107</v>
      </c>
      <c r="D49" s="45" t="s">
        <v>514</v>
      </c>
      <c r="E49" s="45" t="s">
        <v>70</v>
      </c>
      <c r="F49" s="61" t="s">
        <v>19</v>
      </c>
      <c r="G49" s="61">
        <v>1</v>
      </c>
      <c r="H49" s="80">
        <v>45870</v>
      </c>
      <c r="I49" s="55" t="s">
        <v>72</v>
      </c>
      <c r="J49" s="7" t="s">
        <v>33</v>
      </c>
      <c r="K49" s="55" t="s">
        <v>528</v>
      </c>
    </row>
    <row r="50" spans="1:11" s="73" customFormat="1" x14ac:dyDescent="0.25">
      <c r="A50" s="57">
        <f t="shared" si="5"/>
        <v>49</v>
      </c>
      <c r="B50" s="59" t="s">
        <v>34</v>
      </c>
      <c r="C50" s="45" t="s">
        <v>107</v>
      </c>
      <c r="D50" s="45" t="s">
        <v>515</v>
      </c>
      <c r="E50" s="45" t="s">
        <v>70</v>
      </c>
      <c r="F50" s="61" t="s">
        <v>19</v>
      </c>
      <c r="G50" s="61">
        <v>1</v>
      </c>
      <c r="H50" s="80">
        <v>45870</v>
      </c>
      <c r="I50" s="55" t="s">
        <v>72</v>
      </c>
      <c r="J50" s="7" t="s">
        <v>33</v>
      </c>
      <c r="K50" s="55" t="s">
        <v>528</v>
      </c>
    </row>
    <row r="51" spans="1:11" s="73" customFormat="1" x14ac:dyDescent="0.25">
      <c r="A51" s="57">
        <f t="shared" si="5"/>
        <v>50</v>
      </c>
      <c r="B51" s="59" t="s">
        <v>34</v>
      </c>
      <c r="C51" s="45" t="s">
        <v>107</v>
      </c>
      <c r="D51" s="45" t="s">
        <v>516</v>
      </c>
      <c r="E51" s="45" t="s">
        <v>70</v>
      </c>
      <c r="F51" s="61" t="s">
        <v>19</v>
      </c>
      <c r="G51" s="61">
        <v>1</v>
      </c>
      <c r="H51" s="80">
        <v>45870</v>
      </c>
      <c r="I51" s="55" t="s">
        <v>72</v>
      </c>
      <c r="J51" s="7" t="s">
        <v>33</v>
      </c>
      <c r="K51" s="55" t="s">
        <v>528</v>
      </c>
    </row>
    <row r="52" spans="1:11" s="73" customFormat="1" x14ac:dyDescent="0.25">
      <c r="A52" s="57">
        <f t="shared" si="5"/>
        <v>51</v>
      </c>
      <c r="B52" s="58" t="s">
        <v>34</v>
      </c>
      <c r="C52" s="45" t="s">
        <v>107</v>
      </c>
      <c r="D52" s="45" t="s">
        <v>517</v>
      </c>
      <c r="E52" s="45" t="s">
        <v>38</v>
      </c>
      <c r="F52" s="61" t="s">
        <v>19</v>
      </c>
      <c r="G52" s="61">
        <v>1</v>
      </c>
      <c r="H52" s="80">
        <v>45875</v>
      </c>
      <c r="I52" s="55" t="s">
        <v>72</v>
      </c>
      <c r="J52" s="7" t="s">
        <v>33</v>
      </c>
      <c r="K52" s="55" t="s">
        <v>528</v>
      </c>
    </row>
    <row r="53" spans="1:11" s="73" customFormat="1" x14ac:dyDescent="0.25">
      <c r="A53" s="57">
        <f t="shared" si="5"/>
        <v>52</v>
      </c>
      <c r="B53" s="58" t="s">
        <v>34</v>
      </c>
      <c r="C53" s="45" t="s">
        <v>107</v>
      </c>
      <c r="D53" s="45" t="s">
        <v>518</v>
      </c>
      <c r="E53" s="45" t="s">
        <v>82</v>
      </c>
      <c r="F53" s="61" t="s">
        <v>19</v>
      </c>
      <c r="G53" s="61">
        <v>1</v>
      </c>
      <c r="H53" s="80">
        <v>45875</v>
      </c>
      <c r="I53" s="55" t="s">
        <v>72</v>
      </c>
      <c r="J53" s="7" t="s">
        <v>33</v>
      </c>
      <c r="K53" s="55" t="s">
        <v>528</v>
      </c>
    </row>
    <row r="54" spans="1:11" s="73" customFormat="1" x14ac:dyDescent="0.25">
      <c r="A54" s="57">
        <f t="shared" si="5"/>
        <v>53</v>
      </c>
      <c r="B54" s="58" t="s">
        <v>157</v>
      </c>
      <c r="C54" s="45" t="s">
        <v>107</v>
      </c>
      <c r="D54" s="45" t="s">
        <v>519</v>
      </c>
      <c r="E54" s="45" t="s">
        <v>395</v>
      </c>
      <c r="F54" s="61" t="s">
        <v>19</v>
      </c>
      <c r="G54" s="61">
        <v>1</v>
      </c>
      <c r="H54" s="80">
        <v>45873</v>
      </c>
      <c r="I54" s="55" t="s">
        <v>40</v>
      </c>
      <c r="J54" s="7" t="s">
        <v>33</v>
      </c>
      <c r="K54" s="55" t="s">
        <v>528</v>
      </c>
    </row>
    <row r="55" spans="1:11" s="73" customFormat="1" x14ac:dyDescent="0.25">
      <c r="A55" s="57">
        <f t="shared" si="5"/>
        <v>54</v>
      </c>
      <c r="B55" s="58" t="s">
        <v>34</v>
      </c>
      <c r="C55" s="45" t="s">
        <v>107</v>
      </c>
      <c r="D55" s="45" t="s">
        <v>520</v>
      </c>
      <c r="E55" s="45" t="s">
        <v>395</v>
      </c>
      <c r="F55" s="61" t="s">
        <v>19</v>
      </c>
      <c r="G55" s="61">
        <v>1</v>
      </c>
      <c r="H55" s="80">
        <v>45876</v>
      </c>
      <c r="I55" s="55" t="s">
        <v>72</v>
      </c>
      <c r="J55" s="7" t="s">
        <v>33</v>
      </c>
      <c r="K55" s="55" t="s">
        <v>528</v>
      </c>
    </row>
    <row r="56" spans="1:11" s="73" customFormat="1" x14ac:dyDescent="0.25">
      <c r="A56" s="57">
        <f t="shared" si="5"/>
        <v>55</v>
      </c>
      <c r="B56" s="58" t="s">
        <v>157</v>
      </c>
      <c r="C56" s="45" t="s">
        <v>107</v>
      </c>
      <c r="D56" s="45" t="s">
        <v>521</v>
      </c>
      <c r="E56" s="45" t="s">
        <v>35</v>
      </c>
      <c r="F56" s="61" t="s">
        <v>19</v>
      </c>
      <c r="G56" s="61">
        <v>1</v>
      </c>
      <c r="H56" s="80">
        <v>45870</v>
      </c>
      <c r="I56" s="55" t="s">
        <v>72</v>
      </c>
      <c r="J56" s="7" t="s">
        <v>33</v>
      </c>
      <c r="K56" s="55" t="s">
        <v>528</v>
      </c>
    </row>
    <row r="57" spans="1:11" s="73" customFormat="1" x14ac:dyDescent="0.25">
      <c r="A57" s="57">
        <f t="shared" si="5"/>
        <v>56</v>
      </c>
      <c r="B57" s="72" t="s">
        <v>34</v>
      </c>
      <c r="C57" s="45" t="s">
        <v>107</v>
      </c>
      <c r="D57" s="53" t="s">
        <v>524</v>
      </c>
      <c r="E57" s="53" t="s">
        <v>110</v>
      </c>
      <c r="F57" s="61"/>
      <c r="G57" s="61"/>
      <c r="H57" s="70"/>
      <c r="I57" s="55"/>
      <c r="J57" s="7" t="s">
        <v>33</v>
      </c>
      <c r="K57" s="55" t="s">
        <v>528</v>
      </c>
    </row>
    <row r="58" spans="1:11" x14ac:dyDescent="0.25">
      <c r="A58" s="57">
        <f t="shared" ref="A58:A73" si="6">ROW()-1</f>
        <v>57</v>
      </c>
      <c r="B58" s="44" t="s">
        <v>217</v>
      </c>
      <c r="D58" s="44" t="s">
        <v>218</v>
      </c>
      <c r="F58" s="46"/>
      <c r="G58" s="46"/>
      <c r="H58" s="47"/>
      <c r="I58" s="45" t="s">
        <v>40</v>
      </c>
      <c r="J58" s="7" t="s">
        <v>33</v>
      </c>
      <c r="K58" s="45" t="s">
        <v>219</v>
      </c>
    </row>
    <row r="59" spans="1:11" x14ac:dyDescent="0.25">
      <c r="A59" s="57">
        <f t="shared" si="6"/>
        <v>58</v>
      </c>
      <c r="B59" s="72" t="s">
        <v>34</v>
      </c>
      <c r="C59" s="45" t="s">
        <v>226</v>
      </c>
      <c r="D59" s="53" t="s">
        <v>225</v>
      </c>
      <c r="E59" s="53" t="s">
        <v>207</v>
      </c>
      <c r="J59" s="7" t="s">
        <v>33</v>
      </c>
    </row>
    <row r="60" spans="1:11" s="65" customFormat="1" ht="15.75" customHeight="1" x14ac:dyDescent="0.25">
      <c r="A60" s="19">
        <f t="shared" si="6"/>
        <v>59</v>
      </c>
      <c r="B60" s="44" t="s">
        <v>157</v>
      </c>
      <c r="C60" s="45" t="s">
        <v>107</v>
      </c>
      <c r="D60" s="55" t="s">
        <v>58</v>
      </c>
      <c r="E60" s="55" t="s">
        <v>59</v>
      </c>
      <c r="F60" s="62" t="s">
        <v>19</v>
      </c>
      <c r="G60" s="46">
        <v>1</v>
      </c>
      <c r="H60" s="80">
        <v>45881</v>
      </c>
      <c r="I60" s="55" t="s">
        <v>72</v>
      </c>
      <c r="J60" s="45"/>
      <c r="K60" s="45" t="s">
        <v>158</v>
      </c>
    </row>
    <row r="61" spans="1:11" x14ac:dyDescent="0.25">
      <c r="A61" s="19">
        <f t="shared" si="6"/>
        <v>60</v>
      </c>
      <c r="B61" s="59" t="s">
        <v>319</v>
      </c>
      <c r="C61" s="45" t="s">
        <v>318</v>
      </c>
      <c r="D61" s="45" t="s">
        <v>317</v>
      </c>
      <c r="E61" s="45" t="s">
        <v>231</v>
      </c>
      <c r="J61" s="17" t="s">
        <v>33</v>
      </c>
      <c r="K61" s="45" t="s">
        <v>320</v>
      </c>
    </row>
    <row r="62" spans="1:11" x14ac:dyDescent="0.25">
      <c r="A62" s="19">
        <f t="shared" si="6"/>
        <v>61</v>
      </c>
      <c r="B62" s="59" t="s">
        <v>418</v>
      </c>
      <c r="C62" s="45" t="s">
        <v>419</v>
      </c>
      <c r="D62" s="55" t="s">
        <v>417</v>
      </c>
      <c r="E62" s="55" t="s">
        <v>336</v>
      </c>
      <c r="F62" s="46" t="s">
        <v>19</v>
      </c>
      <c r="G62" s="46">
        <v>1</v>
      </c>
      <c r="H62" s="80">
        <v>45868</v>
      </c>
      <c r="I62" s="45" t="s">
        <v>40</v>
      </c>
    </row>
    <row r="63" spans="1:11" x14ac:dyDescent="0.25">
      <c r="A63" s="19">
        <f t="shared" si="6"/>
        <v>62</v>
      </c>
      <c r="H63" s="60"/>
    </row>
    <row r="64" spans="1:11" x14ac:dyDescent="0.25">
      <c r="A64" s="19">
        <f t="shared" si="6"/>
        <v>63</v>
      </c>
      <c r="B64" s="59"/>
      <c r="C64" s="45" t="s">
        <v>107</v>
      </c>
      <c r="D64" s="100" t="s">
        <v>521</v>
      </c>
      <c r="E64" s="100" t="s">
        <v>35</v>
      </c>
      <c r="F64" s="46" t="s">
        <v>16</v>
      </c>
      <c r="G64" s="46">
        <v>1</v>
      </c>
      <c r="H64" s="80">
        <v>45875</v>
      </c>
      <c r="I64" s="55" t="s">
        <v>72</v>
      </c>
      <c r="J64" s="45" t="s">
        <v>33</v>
      </c>
    </row>
    <row r="65" spans="1:11" x14ac:dyDescent="0.25">
      <c r="A65" s="19">
        <f t="shared" si="6"/>
        <v>64</v>
      </c>
      <c r="B65" s="59"/>
      <c r="C65" s="45" t="s">
        <v>663</v>
      </c>
      <c r="D65" s="45" t="s">
        <v>664</v>
      </c>
      <c r="E65" s="45" t="s">
        <v>27</v>
      </c>
      <c r="F65" s="46" t="s">
        <v>16</v>
      </c>
      <c r="G65" s="46">
        <v>1</v>
      </c>
      <c r="H65" s="80">
        <v>45877</v>
      </c>
      <c r="I65" s="55" t="s">
        <v>72</v>
      </c>
      <c r="J65" s="17" t="s">
        <v>31</v>
      </c>
    </row>
    <row r="66" spans="1:11" x14ac:dyDescent="0.25">
      <c r="A66" s="19">
        <f t="shared" si="6"/>
        <v>65</v>
      </c>
      <c r="B66" s="59"/>
      <c r="D66" s="45" t="s">
        <v>666</v>
      </c>
      <c r="E66" s="45" t="s">
        <v>667</v>
      </c>
      <c r="F66" s="46" t="s">
        <v>16</v>
      </c>
      <c r="G66" s="46">
        <v>1</v>
      </c>
      <c r="H66" s="80">
        <v>45877</v>
      </c>
      <c r="I66" s="55" t="s">
        <v>72</v>
      </c>
      <c r="J66" s="45" t="s">
        <v>33</v>
      </c>
    </row>
    <row r="67" spans="1:11" x14ac:dyDescent="0.25">
      <c r="A67" s="19">
        <f t="shared" si="6"/>
        <v>66</v>
      </c>
      <c r="B67" s="44" t="s">
        <v>723</v>
      </c>
      <c r="C67" s="45" t="s">
        <v>721</v>
      </c>
      <c r="D67" s="45" t="s">
        <v>712</v>
      </c>
      <c r="E67" s="45" t="s">
        <v>713</v>
      </c>
      <c r="J67" s="45" t="s">
        <v>33</v>
      </c>
      <c r="K67" s="45" t="s">
        <v>722</v>
      </c>
    </row>
    <row r="68" spans="1:11" x14ac:dyDescent="0.25">
      <c r="A68" s="19">
        <f t="shared" si="6"/>
        <v>67</v>
      </c>
      <c r="B68" s="44" t="s">
        <v>723</v>
      </c>
      <c r="C68" s="45" t="s">
        <v>721</v>
      </c>
      <c r="D68" s="45" t="s">
        <v>714</v>
      </c>
      <c r="E68" s="45" t="s">
        <v>713</v>
      </c>
      <c r="J68" s="45" t="s">
        <v>33</v>
      </c>
      <c r="K68" s="45" t="s">
        <v>722</v>
      </c>
    </row>
    <row r="69" spans="1:11" x14ac:dyDescent="0.25">
      <c r="A69" s="19">
        <f t="shared" si="6"/>
        <v>68</v>
      </c>
      <c r="B69" s="44" t="s">
        <v>723</v>
      </c>
      <c r="C69" s="45" t="s">
        <v>721</v>
      </c>
      <c r="D69" s="45" t="s">
        <v>715</v>
      </c>
      <c r="E69" s="45" t="s">
        <v>245</v>
      </c>
      <c r="J69" s="45" t="s">
        <v>33</v>
      </c>
      <c r="K69" s="45" t="s">
        <v>722</v>
      </c>
    </row>
    <row r="70" spans="1:11" x14ac:dyDescent="0.25">
      <c r="A70" s="19">
        <f t="shared" si="6"/>
        <v>69</v>
      </c>
      <c r="B70" s="44" t="s">
        <v>723</v>
      </c>
      <c r="C70" s="45" t="s">
        <v>721</v>
      </c>
      <c r="D70" s="45" t="s">
        <v>716</v>
      </c>
      <c r="E70" s="45" t="s">
        <v>717</v>
      </c>
      <c r="J70" s="45" t="s">
        <v>33</v>
      </c>
      <c r="K70" s="45" t="s">
        <v>722</v>
      </c>
    </row>
    <row r="71" spans="1:11" x14ac:dyDescent="0.25">
      <c r="A71" s="19">
        <f t="shared" si="6"/>
        <v>70</v>
      </c>
      <c r="B71" s="44" t="s">
        <v>723</v>
      </c>
      <c r="C71" s="45" t="s">
        <v>721</v>
      </c>
      <c r="D71" s="45" t="s">
        <v>718</v>
      </c>
      <c r="E71" s="45" t="s">
        <v>717</v>
      </c>
      <c r="J71" s="45" t="s">
        <v>33</v>
      </c>
      <c r="K71" s="45" t="s">
        <v>722</v>
      </c>
    </row>
    <row r="72" spans="1:11" x14ac:dyDescent="0.25">
      <c r="A72" s="19">
        <f t="shared" si="6"/>
        <v>71</v>
      </c>
      <c r="B72" s="44" t="s">
        <v>723</v>
      </c>
      <c r="C72" s="45" t="s">
        <v>721</v>
      </c>
      <c r="D72" s="45" t="s">
        <v>719</v>
      </c>
      <c r="E72" s="45" t="s">
        <v>717</v>
      </c>
      <c r="J72" s="45" t="s">
        <v>33</v>
      </c>
      <c r="K72" s="45" t="s">
        <v>722</v>
      </c>
    </row>
    <row r="73" spans="1:11" x14ac:dyDescent="0.25">
      <c r="A73" s="19">
        <f t="shared" si="6"/>
        <v>72</v>
      </c>
      <c r="B73" s="44" t="s">
        <v>723</v>
      </c>
      <c r="C73" s="45" t="s">
        <v>721</v>
      </c>
      <c r="D73" s="45" t="s">
        <v>720</v>
      </c>
      <c r="E73" s="45" t="s">
        <v>717</v>
      </c>
      <c r="J73" s="45" t="s">
        <v>33</v>
      </c>
      <c r="K73" s="45" t="s">
        <v>722</v>
      </c>
    </row>
  </sheetData>
  <autoFilter ref="A1:K73"/>
  <conditionalFormatting sqref="D1:D1048576">
    <cfRule type="duplicateValues" dxfId="11" priority="3"/>
    <cfRule type="endsWith" dxfId="10" priority="2" operator="endsWith" text=" ">
      <formula>RIGHT(D1,LEN(" "))=" "</formula>
    </cfRule>
    <cfRule type="containsText" dxfId="9" priority="1" operator="containsText" text=",">
      <formula>NOT(ISERROR(SEARCH(",",D1)))</formula>
    </cfRule>
  </conditionalFormatting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rrectDSE">
                <anchor moveWithCells="1" sizeWithCells="1">
                  <from>
                    <xdr:col>3</xdr:col>
                    <xdr:colOff>38100</xdr:colOff>
                    <xdr:row>0</xdr:row>
                    <xdr:rowOff>85725</xdr:rowOff>
                  </from>
                  <to>
                    <xdr:col>3</xdr:col>
                    <xdr:colOff>628650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8"/>
  <sheetViews>
    <sheetView zoomScale="90" zoomScaleNormal="90" workbookViewId="0">
      <pane ySplit="1" topLeftCell="A38" activePane="bottomLeft" state="frozen"/>
      <selection pane="bottomLeft" activeCell="K69" sqref="K69"/>
    </sheetView>
  </sheetViews>
  <sheetFormatPr defaultRowHeight="15.75" x14ac:dyDescent="0.25"/>
  <cols>
    <col min="1" max="1" width="5.7109375" style="45" customWidth="1"/>
    <col min="2" max="2" width="15.7109375" style="45" customWidth="1"/>
    <col min="3" max="3" width="15.28515625" style="45" customWidth="1"/>
    <col min="4" max="4" width="23.140625" style="45" bestFit="1" customWidth="1"/>
    <col min="5" max="5" width="10.28515625" style="45" customWidth="1"/>
    <col min="6" max="6" width="23.140625" style="45" customWidth="1"/>
    <col min="7" max="7" width="18.28515625" style="45" bestFit="1" customWidth="1"/>
    <col min="8" max="8" width="16.85546875" style="45" customWidth="1"/>
    <col min="9" max="9" width="18.140625" style="46" customWidth="1"/>
    <col min="10" max="10" width="52.140625" style="45" customWidth="1"/>
    <col min="11" max="11" width="9.140625" style="17"/>
  </cols>
  <sheetData>
    <row r="1" spans="1:15" s="83" customFormat="1" ht="16.5" thickBot="1" x14ac:dyDescent="0.3">
      <c r="A1" s="86" t="s">
        <v>0</v>
      </c>
      <c r="B1" s="87" t="s">
        <v>288</v>
      </c>
      <c r="C1" s="87" t="s">
        <v>289</v>
      </c>
      <c r="D1" s="87" t="s">
        <v>246</v>
      </c>
      <c r="E1" s="87" t="s">
        <v>247</v>
      </c>
      <c r="F1" s="87" t="s">
        <v>4</v>
      </c>
      <c r="G1" s="87" t="s">
        <v>249</v>
      </c>
      <c r="H1" s="87" t="s">
        <v>248</v>
      </c>
      <c r="I1" s="92" t="s">
        <v>329</v>
      </c>
      <c r="J1" s="87" t="s">
        <v>290</v>
      </c>
      <c r="K1" s="91"/>
    </row>
    <row r="2" spans="1:15" x14ac:dyDescent="0.25">
      <c r="A2" s="85">
        <v>1</v>
      </c>
      <c r="B2" s="88">
        <v>45351</v>
      </c>
      <c r="C2" s="89">
        <v>44972</v>
      </c>
      <c r="D2" s="85" t="s">
        <v>250</v>
      </c>
      <c r="E2" s="85" t="s">
        <v>253</v>
      </c>
      <c r="F2" s="85" t="s">
        <v>251</v>
      </c>
      <c r="G2" s="85" t="s">
        <v>260</v>
      </c>
      <c r="H2" s="85" t="s">
        <v>252</v>
      </c>
      <c r="I2" s="93" t="s">
        <v>330</v>
      </c>
      <c r="J2" s="85" t="s">
        <v>254</v>
      </c>
      <c r="K2" s="90"/>
    </row>
    <row r="3" spans="1:15" x14ac:dyDescent="0.25">
      <c r="A3" s="45">
        <v>2</v>
      </c>
      <c r="B3" s="70"/>
      <c r="C3" s="60">
        <v>45833</v>
      </c>
      <c r="D3" s="45" t="s">
        <v>236</v>
      </c>
      <c r="E3" s="45" t="s">
        <v>255</v>
      </c>
      <c r="F3" s="45" t="s">
        <v>256</v>
      </c>
      <c r="G3" s="45" t="s">
        <v>257</v>
      </c>
      <c r="H3" s="45" t="s">
        <v>17</v>
      </c>
      <c r="I3" s="46" t="s">
        <v>331</v>
      </c>
    </row>
    <row r="4" spans="1:15" x14ac:dyDescent="0.25">
      <c r="A4" s="85">
        <v>3</v>
      </c>
      <c r="B4" s="70"/>
      <c r="C4" s="60">
        <v>45833</v>
      </c>
      <c r="D4" s="45" t="s">
        <v>236</v>
      </c>
      <c r="E4" s="45" t="s">
        <v>258</v>
      </c>
      <c r="F4" s="45" t="s">
        <v>259</v>
      </c>
      <c r="G4" s="45" t="s">
        <v>257</v>
      </c>
      <c r="H4" s="45" t="s">
        <v>24</v>
      </c>
      <c r="I4" s="46" t="s">
        <v>331</v>
      </c>
    </row>
    <row r="5" spans="1:15" x14ac:dyDescent="0.25">
      <c r="A5" s="45">
        <v>4</v>
      </c>
      <c r="B5" s="80">
        <v>45834</v>
      </c>
      <c r="C5" s="60">
        <v>45833</v>
      </c>
      <c r="D5" s="45" t="s">
        <v>261</v>
      </c>
      <c r="E5" s="84" t="s">
        <v>255</v>
      </c>
      <c r="F5" s="45" t="s">
        <v>262</v>
      </c>
      <c r="G5" s="45" t="s">
        <v>263</v>
      </c>
      <c r="H5" s="45" t="s">
        <v>13</v>
      </c>
      <c r="I5" s="46" t="s">
        <v>330</v>
      </c>
    </row>
    <row r="6" spans="1:15" x14ac:dyDescent="0.25">
      <c r="A6" s="85">
        <v>5</v>
      </c>
      <c r="B6" s="80">
        <v>45834</v>
      </c>
      <c r="C6" s="60">
        <v>45833</v>
      </c>
      <c r="D6" s="45" t="s">
        <v>261</v>
      </c>
      <c r="E6" s="84" t="s">
        <v>258</v>
      </c>
      <c r="F6" s="45" t="s">
        <v>264</v>
      </c>
      <c r="G6" s="45" t="s">
        <v>263</v>
      </c>
      <c r="H6" s="45" t="s">
        <v>13</v>
      </c>
      <c r="I6" s="46" t="s">
        <v>330</v>
      </c>
    </row>
    <row r="7" spans="1:15" x14ac:dyDescent="0.25">
      <c r="A7" s="45">
        <v>6</v>
      </c>
      <c r="B7" s="80">
        <v>45834</v>
      </c>
      <c r="C7" s="60">
        <v>45833</v>
      </c>
      <c r="D7" s="45" t="s">
        <v>261</v>
      </c>
      <c r="E7" s="84" t="s">
        <v>265</v>
      </c>
      <c r="F7" s="45" t="s">
        <v>266</v>
      </c>
      <c r="G7" s="45" t="s">
        <v>263</v>
      </c>
      <c r="H7" s="45" t="s">
        <v>13</v>
      </c>
      <c r="I7" s="46" t="s">
        <v>330</v>
      </c>
    </row>
    <row r="8" spans="1:15" x14ac:dyDescent="0.25">
      <c r="A8" s="85">
        <v>7</v>
      </c>
      <c r="B8" s="80">
        <v>45834</v>
      </c>
      <c r="C8" s="60">
        <v>45833</v>
      </c>
      <c r="D8" s="45" t="s">
        <v>261</v>
      </c>
      <c r="E8" s="84" t="s">
        <v>267</v>
      </c>
      <c r="F8" s="45" t="s">
        <v>268</v>
      </c>
      <c r="G8" s="45" t="s">
        <v>263</v>
      </c>
      <c r="H8" s="45" t="s">
        <v>13</v>
      </c>
      <c r="I8" s="46" t="s">
        <v>330</v>
      </c>
    </row>
    <row r="9" spans="1:15" x14ac:dyDescent="0.25">
      <c r="A9" s="45">
        <v>8</v>
      </c>
      <c r="B9" s="80">
        <v>45845</v>
      </c>
      <c r="C9" s="60">
        <v>45833</v>
      </c>
      <c r="D9" s="45" t="s">
        <v>235</v>
      </c>
      <c r="E9" s="45" t="s">
        <v>255</v>
      </c>
      <c r="F9" s="45" t="s">
        <v>271</v>
      </c>
      <c r="G9" s="85" t="s">
        <v>260</v>
      </c>
      <c r="H9" s="45" t="s">
        <v>17</v>
      </c>
      <c r="I9" s="46" t="s">
        <v>330</v>
      </c>
    </row>
    <row r="10" spans="1:15" x14ac:dyDescent="0.25">
      <c r="A10" s="85">
        <v>9</v>
      </c>
      <c r="B10" s="80">
        <v>45845</v>
      </c>
      <c r="C10" s="60">
        <v>45833</v>
      </c>
      <c r="D10" s="45" t="s">
        <v>235</v>
      </c>
      <c r="E10" s="45" t="s">
        <v>258</v>
      </c>
      <c r="F10" s="45" t="s">
        <v>272</v>
      </c>
      <c r="G10" s="85" t="s">
        <v>260</v>
      </c>
      <c r="H10" s="45" t="s">
        <v>17</v>
      </c>
      <c r="I10" s="46" t="s">
        <v>330</v>
      </c>
    </row>
    <row r="11" spans="1:15" x14ac:dyDescent="0.25">
      <c r="A11" s="45">
        <v>10</v>
      </c>
      <c r="B11" s="80">
        <v>45845</v>
      </c>
      <c r="C11" s="60">
        <v>45833</v>
      </c>
      <c r="D11" s="45" t="s">
        <v>364</v>
      </c>
      <c r="E11" s="45" t="s">
        <v>255</v>
      </c>
      <c r="F11" s="45" t="s">
        <v>269</v>
      </c>
      <c r="G11" s="85" t="s">
        <v>260</v>
      </c>
      <c r="H11" s="45" t="s">
        <v>17</v>
      </c>
      <c r="I11" s="46" t="s">
        <v>330</v>
      </c>
    </row>
    <row r="12" spans="1:15" x14ac:dyDescent="0.25">
      <c r="A12" s="85">
        <v>11</v>
      </c>
      <c r="B12" s="80">
        <v>45845</v>
      </c>
      <c r="C12" s="60">
        <v>45833</v>
      </c>
      <c r="D12" s="45" t="s">
        <v>364</v>
      </c>
      <c r="E12" s="45" t="s">
        <v>258</v>
      </c>
      <c r="F12" s="45" t="s">
        <v>270</v>
      </c>
      <c r="G12" s="85" t="s">
        <v>260</v>
      </c>
      <c r="H12" s="45" t="s">
        <v>17</v>
      </c>
      <c r="I12" s="46" t="s">
        <v>330</v>
      </c>
    </row>
    <row r="13" spans="1:15" x14ac:dyDescent="0.25">
      <c r="A13" s="45">
        <v>12</v>
      </c>
      <c r="B13" s="80">
        <v>45834</v>
      </c>
      <c r="C13" s="60">
        <v>45833</v>
      </c>
      <c r="D13" s="45" t="s">
        <v>273</v>
      </c>
      <c r="E13" s="45" t="s">
        <v>258</v>
      </c>
      <c r="F13" s="45" t="s">
        <v>277</v>
      </c>
      <c r="G13" s="45" t="s">
        <v>257</v>
      </c>
      <c r="H13" s="45" t="s">
        <v>14</v>
      </c>
      <c r="I13" s="46" t="s">
        <v>330</v>
      </c>
    </row>
    <row r="14" spans="1:15" x14ac:dyDescent="0.25">
      <c r="A14" s="85">
        <v>13</v>
      </c>
      <c r="B14" s="80">
        <v>45834</v>
      </c>
      <c r="C14" s="60">
        <v>45833</v>
      </c>
      <c r="D14" s="45" t="s">
        <v>273</v>
      </c>
      <c r="E14" s="45" t="s">
        <v>265</v>
      </c>
      <c r="F14" s="45" t="s">
        <v>278</v>
      </c>
      <c r="G14" s="45" t="s">
        <v>257</v>
      </c>
      <c r="H14" s="45" t="s">
        <v>14</v>
      </c>
      <c r="I14" s="46" t="s">
        <v>330</v>
      </c>
      <c r="O14" s="94"/>
    </row>
    <row r="15" spans="1:15" x14ac:dyDescent="0.25">
      <c r="A15" s="45">
        <v>14</v>
      </c>
      <c r="B15" s="80">
        <v>45834</v>
      </c>
      <c r="C15" s="60">
        <v>45833</v>
      </c>
      <c r="D15" s="45" t="s">
        <v>273</v>
      </c>
      <c r="E15" s="45" t="s">
        <v>267</v>
      </c>
      <c r="F15" s="45" t="s">
        <v>279</v>
      </c>
      <c r="G15" s="45" t="s">
        <v>257</v>
      </c>
      <c r="H15" s="45" t="s">
        <v>14</v>
      </c>
      <c r="I15" s="46" t="s">
        <v>330</v>
      </c>
    </row>
    <row r="16" spans="1:15" x14ac:dyDescent="0.25">
      <c r="A16" s="45">
        <v>15</v>
      </c>
      <c r="B16" s="80">
        <v>45834</v>
      </c>
      <c r="C16" s="60">
        <v>45833</v>
      </c>
      <c r="D16" s="45" t="s">
        <v>273</v>
      </c>
      <c r="E16" s="45" t="s">
        <v>274</v>
      </c>
      <c r="F16" s="45" t="s">
        <v>280</v>
      </c>
      <c r="G16" s="45" t="s">
        <v>257</v>
      </c>
      <c r="H16" s="45" t="s">
        <v>14</v>
      </c>
      <c r="I16" s="46" t="s">
        <v>330</v>
      </c>
    </row>
    <row r="17" spans="1:10" x14ac:dyDescent="0.25">
      <c r="A17" s="85">
        <v>16</v>
      </c>
      <c r="B17" s="80">
        <v>45834</v>
      </c>
      <c r="C17" s="60">
        <v>45833</v>
      </c>
      <c r="D17" s="45" t="s">
        <v>273</v>
      </c>
      <c r="E17" s="45" t="s">
        <v>275</v>
      </c>
      <c r="F17" s="45" t="s">
        <v>281</v>
      </c>
      <c r="G17" s="45" t="s">
        <v>257</v>
      </c>
      <c r="H17" s="45" t="s">
        <v>14</v>
      </c>
      <c r="I17" s="46" t="s">
        <v>330</v>
      </c>
    </row>
    <row r="18" spans="1:10" x14ac:dyDescent="0.25">
      <c r="A18" s="45">
        <v>17</v>
      </c>
      <c r="B18" s="80">
        <v>45834</v>
      </c>
      <c r="C18" s="60">
        <v>45833</v>
      </c>
      <c r="D18" s="45" t="s">
        <v>273</v>
      </c>
      <c r="E18" s="45" t="s">
        <v>276</v>
      </c>
      <c r="F18" s="45" t="s">
        <v>282</v>
      </c>
      <c r="G18" s="45" t="s">
        <v>257</v>
      </c>
      <c r="H18" s="45" t="s">
        <v>14</v>
      </c>
      <c r="I18" s="46" t="s">
        <v>330</v>
      </c>
    </row>
    <row r="19" spans="1:10" x14ac:dyDescent="0.25">
      <c r="A19" s="85">
        <v>18</v>
      </c>
      <c r="B19" s="80">
        <v>45845</v>
      </c>
      <c r="C19" s="60">
        <v>45833</v>
      </c>
      <c r="D19" s="45" t="s">
        <v>283</v>
      </c>
      <c r="E19" s="45" t="s">
        <v>255</v>
      </c>
      <c r="F19" s="45" t="s">
        <v>284</v>
      </c>
      <c r="G19" s="45" t="s">
        <v>287</v>
      </c>
      <c r="H19" s="45" t="s">
        <v>13</v>
      </c>
      <c r="I19" s="46" t="s">
        <v>330</v>
      </c>
    </row>
    <row r="20" spans="1:10" x14ac:dyDescent="0.25">
      <c r="A20" s="45">
        <v>19</v>
      </c>
      <c r="B20" s="80">
        <v>45845</v>
      </c>
      <c r="C20" s="60">
        <v>45833</v>
      </c>
      <c r="D20" s="45" t="s">
        <v>283</v>
      </c>
      <c r="E20" s="45" t="s">
        <v>258</v>
      </c>
      <c r="F20" s="45" t="s">
        <v>285</v>
      </c>
      <c r="G20" s="45" t="s">
        <v>287</v>
      </c>
      <c r="H20" s="45" t="s">
        <v>13</v>
      </c>
      <c r="I20" s="46" t="s">
        <v>330</v>
      </c>
      <c r="J20" s="45" t="s">
        <v>14</v>
      </c>
    </row>
    <row r="21" spans="1:10" x14ac:dyDescent="0.25">
      <c r="A21" s="85">
        <v>20</v>
      </c>
      <c r="B21" s="80">
        <v>45845</v>
      </c>
      <c r="C21" s="60">
        <v>45833</v>
      </c>
      <c r="D21" s="45" t="s">
        <v>283</v>
      </c>
      <c r="E21" s="45" t="s">
        <v>265</v>
      </c>
      <c r="F21" s="45" t="s">
        <v>286</v>
      </c>
      <c r="G21" s="45" t="s">
        <v>287</v>
      </c>
      <c r="H21" s="45" t="s">
        <v>13</v>
      </c>
      <c r="I21" s="46" t="s">
        <v>330</v>
      </c>
    </row>
    <row r="22" spans="1:10" x14ac:dyDescent="0.25">
      <c r="A22" s="45">
        <v>21</v>
      </c>
      <c r="B22" s="80">
        <v>45834</v>
      </c>
      <c r="C22" s="60">
        <v>45833</v>
      </c>
      <c r="D22" s="45" t="s">
        <v>297</v>
      </c>
      <c r="E22" s="45" t="s">
        <v>255</v>
      </c>
      <c r="F22" s="45" t="s">
        <v>298</v>
      </c>
      <c r="G22" s="45" t="s">
        <v>299</v>
      </c>
      <c r="H22" s="45" t="s">
        <v>40</v>
      </c>
      <c r="I22" s="46" t="s">
        <v>330</v>
      </c>
    </row>
    <row r="23" spans="1:10" x14ac:dyDescent="0.25">
      <c r="A23" s="85">
        <v>22</v>
      </c>
      <c r="B23" s="80">
        <v>45845</v>
      </c>
      <c r="C23" s="60">
        <v>45837</v>
      </c>
      <c r="D23" s="45" t="s">
        <v>301</v>
      </c>
      <c r="E23" s="45" t="s">
        <v>258</v>
      </c>
      <c r="F23" s="45" t="s">
        <v>302</v>
      </c>
      <c r="G23" s="45" t="s">
        <v>257</v>
      </c>
      <c r="H23" s="45" t="s">
        <v>17</v>
      </c>
      <c r="I23" s="46" t="s">
        <v>330</v>
      </c>
    </row>
    <row r="24" spans="1:10" x14ac:dyDescent="0.25">
      <c r="A24" s="45">
        <v>23</v>
      </c>
      <c r="B24" s="80">
        <v>45845</v>
      </c>
      <c r="C24" s="60">
        <v>45837</v>
      </c>
      <c r="D24" s="45" t="s">
        <v>301</v>
      </c>
      <c r="E24" s="45" t="s">
        <v>255</v>
      </c>
      <c r="F24" s="45" t="s">
        <v>303</v>
      </c>
      <c r="G24" s="45" t="s">
        <v>257</v>
      </c>
      <c r="H24" s="45" t="s">
        <v>17</v>
      </c>
      <c r="I24" s="46" t="s">
        <v>330</v>
      </c>
    </row>
    <row r="25" spans="1:10" x14ac:dyDescent="0.25">
      <c r="A25" s="85">
        <v>24</v>
      </c>
      <c r="B25" s="80">
        <v>45845</v>
      </c>
      <c r="C25" s="60">
        <v>45837</v>
      </c>
      <c r="D25" s="45" t="s">
        <v>300</v>
      </c>
      <c r="E25" s="45" t="s">
        <v>255</v>
      </c>
      <c r="F25" s="45" t="s">
        <v>307</v>
      </c>
      <c r="G25" s="85" t="s">
        <v>260</v>
      </c>
      <c r="H25" s="45" t="s">
        <v>24</v>
      </c>
      <c r="I25" s="46" t="s">
        <v>330</v>
      </c>
    </row>
    <row r="26" spans="1:10" x14ac:dyDescent="0.25">
      <c r="A26" s="45">
        <v>25</v>
      </c>
      <c r="B26" s="80">
        <v>45845</v>
      </c>
      <c r="C26" s="60">
        <v>45837</v>
      </c>
      <c r="D26" s="45" t="s">
        <v>300</v>
      </c>
      <c r="E26" s="45" t="s">
        <v>258</v>
      </c>
      <c r="F26" s="45" t="s">
        <v>308</v>
      </c>
      <c r="G26" s="85" t="s">
        <v>260</v>
      </c>
      <c r="H26" s="45" t="s">
        <v>24</v>
      </c>
      <c r="I26" s="46" t="s">
        <v>330</v>
      </c>
    </row>
    <row r="27" spans="1:10" x14ac:dyDescent="0.25">
      <c r="A27" s="85">
        <v>26</v>
      </c>
      <c r="B27" s="80">
        <v>45845</v>
      </c>
      <c r="C27" s="60">
        <v>45837</v>
      </c>
      <c r="D27" s="45" t="s">
        <v>304</v>
      </c>
      <c r="E27" s="45" t="s">
        <v>255</v>
      </c>
      <c r="F27" s="45" t="s">
        <v>309</v>
      </c>
      <c r="G27" s="85" t="s">
        <v>260</v>
      </c>
      <c r="H27" s="45" t="s">
        <v>24</v>
      </c>
      <c r="I27" s="46" t="s">
        <v>330</v>
      </c>
    </row>
    <row r="28" spans="1:10" x14ac:dyDescent="0.25">
      <c r="A28" s="45">
        <v>27</v>
      </c>
      <c r="B28" s="80">
        <v>45845</v>
      </c>
      <c r="C28" s="60">
        <v>45837</v>
      </c>
      <c r="D28" s="45" t="s">
        <v>305</v>
      </c>
      <c r="E28" s="45" t="s">
        <v>258</v>
      </c>
      <c r="F28" s="45" t="s">
        <v>310</v>
      </c>
      <c r="G28" s="85" t="s">
        <v>260</v>
      </c>
      <c r="H28" s="45" t="s">
        <v>24</v>
      </c>
      <c r="I28" s="46" t="s">
        <v>330</v>
      </c>
    </row>
    <row r="29" spans="1:10" x14ac:dyDescent="0.25">
      <c r="A29" s="45">
        <v>28</v>
      </c>
      <c r="B29" s="80">
        <v>45845</v>
      </c>
      <c r="C29" s="60">
        <v>45837</v>
      </c>
      <c r="D29" s="45" t="s">
        <v>306</v>
      </c>
      <c r="E29" s="45" t="s">
        <v>258</v>
      </c>
      <c r="F29" s="45" t="s">
        <v>311</v>
      </c>
      <c r="G29" s="85" t="s">
        <v>260</v>
      </c>
      <c r="H29" s="45" t="s">
        <v>24</v>
      </c>
      <c r="I29" s="46" t="s">
        <v>330</v>
      </c>
    </row>
    <row r="30" spans="1:10" x14ac:dyDescent="0.25">
      <c r="A30" s="85">
        <v>29</v>
      </c>
      <c r="C30" s="60">
        <v>45840</v>
      </c>
      <c r="D30" s="45" t="s">
        <v>325</v>
      </c>
      <c r="E30" s="45" t="s">
        <v>255</v>
      </c>
      <c r="F30" s="45" t="s">
        <v>326</v>
      </c>
      <c r="G30" s="45" t="s">
        <v>263</v>
      </c>
      <c r="H30" s="45" t="s">
        <v>13</v>
      </c>
    </row>
    <row r="31" spans="1:10" x14ac:dyDescent="0.25">
      <c r="A31" s="45">
        <v>30</v>
      </c>
      <c r="C31" s="60">
        <v>45840</v>
      </c>
      <c r="D31" s="45" t="s">
        <v>325</v>
      </c>
      <c r="E31" s="45" t="s">
        <v>258</v>
      </c>
      <c r="F31" s="45" t="s">
        <v>327</v>
      </c>
      <c r="G31" s="45" t="s">
        <v>263</v>
      </c>
      <c r="H31" s="45" t="s">
        <v>13</v>
      </c>
    </row>
    <row r="32" spans="1:10" x14ac:dyDescent="0.25">
      <c r="A32" s="85">
        <v>31</v>
      </c>
      <c r="C32" s="60">
        <v>45840</v>
      </c>
      <c r="D32" s="45" t="s">
        <v>325</v>
      </c>
      <c r="E32" s="45" t="s">
        <v>258</v>
      </c>
      <c r="F32" s="45" t="s">
        <v>328</v>
      </c>
      <c r="G32" s="45" t="s">
        <v>263</v>
      </c>
      <c r="H32" s="45" t="s">
        <v>13</v>
      </c>
    </row>
    <row r="33" spans="1:10" x14ac:dyDescent="0.25">
      <c r="A33" s="45">
        <v>32</v>
      </c>
      <c r="B33" s="80">
        <v>45852</v>
      </c>
      <c r="C33" s="60">
        <v>45842</v>
      </c>
      <c r="D33" s="45" t="s">
        <v>337</v>
      </c>
      <c r="E33" s="45" t="s">
        <v>258</v>
      </c>
      <c r="F33" s="45" t="s">
        <v>338</v>
      </c>
      <c r="G33" s="45" t="s">
        <v>287</v>
      </c>
      <c r="H33" s="45" t="s">
        <v>13</v>
      </c>
      <c r="I33" s="46" t="s">
        <v>330</v>
      </c>
    </row>
    <row r="34" spans="1:10" x14ac:dyDescent="0.25">
      <c r="A34" s="85">
        <v>33</v>
      </c>
      <c r="B34" s="80">
        <v>45845</v>
      </c>
      <c r="C34" s="60">
        <v>45833</v>
      </c>
      <c r="D34" s="45" t="s">
        <v>339</v>
      </c>
      <c r="E34" s="45" t="s">
        <v>255</v>
      </c>
      <c r="F34" s="45" t="s">
        <v>340</v>
      </c>
      <c r="G34" s="45" t="s">
        <v>341</v>
      </c>
      <c r="H34" s="45" t="s">
        <v>234</v>
      </c>
      <c r="I34" s="46" t="s">
        <v>330</v>
      </c>
    </row>
    <row r="35" spans="1:10" x14ac:dyDescent="0.25">
      <c r="A35" s="45">
        <v>34</v>
      </c>
      <c r="C35" s="60">
        <v>45847</v>
      </c>
      <c r="D35" s="45" t="s">
        <v>346</v>
      </c>
      <c r="E35" s="45" t="s">
        <v>258</v>
      </c>
      <c r="F35" s="45" t="s">
        <v>347</v>
      </c>
      <c r="G35" s="45" t="s">
        <v>287</v>
      </c>
      <c r="H35" s="45" t="s">
        <v>13</v>
      </c>
    </row>
    <row r="36" spans="1:10" x14ac:dyDescent="0.25">
      <c r="A36" s="85">
        <v>35</v>
      </c>
      <c r="B36" s="80">
        <v>45852</v>
      </c>
      <c r="C36" s="60">
        <v>45841</v>
      </c>
      <c r="D36" s="45" t="s">
        <v>244</v>
      </c>
      <c r="E36" s="45" t="s">
        <v>255</v>
      </c>
      <c r="F36" s="45" t="s">
        <v>367</v>
      </c>
      <c r="G36" s="45" t="s">
        <v>368</v>
      </c>
      <c r="H36" s="45" t="s">
        <v>40</v>
      </c>
      <c r="I36" s="46" t="s">
        <v>330</v>
      </c>
    </row>
    <row r="37" spans="1:10" x14ac:dyDescent="0.25">
      <c r="A37" s="45">
        <v>36</v>
      </c>
      <c r="C37" s="60">
        <v>45854</v>
      </c>
      <c r="D37" s="45" t="s">
        <v>393</v>
      </c>
      <c r="E37" s="45" t="s">
        <v>267</v>
      </c>
      <c r="F37" s="45" t="s">
        <v>394</v>
      </c>
      <c r="G37" s="45" t="s">
        <v>287</v>
      </c>
      <c r="H37" s="45" t="s">
        <v>13</v>
      </c>
    </row>
    <row r="38" spans="1:10" x14ac:dyDescent="0.25">
      <c r="A38" s="85">
        <v>37</v>
      </c>
      <c r="C38" s="60">
        <v>45858</v>
      </c>
      <c r="D38" s="45" t="s">
        <v>238</v>
      </c>
      <c r="E38" s="45" t="s">
        <v>258</v>
      </c>
      <c r="F38" s="45" t="s">
        <v>396</v>
      </c>
      <c r="G38" s="45" t="s">
        <v>341</v>
      </c>
      <c r="H38" s="45" t="s">
        <v>72</v>
      </c>
      <c r="J38" s="45" t="s">
        <v>13</v>
      </c>
    </row>
    <row r="39" spans="1:10" x14ac:dyDescent="0.25">
      <c r="A39" s="45">
        <v>38</v>
      </c>
      <c r="C39" s="60">
        <v>45852</v>
      </c>
      <c r="D39" s="45" t="s">
        <v>348</v>
      </c>
      <c r="E39" s="45" t="s">
        <v>255</v>
      </c>
      <c r="F39" s="45" t="s">
        <v>398</v>
      </c>
      <c r="G39" s="45" t="s">
        <v>403</v>
      </c>
      <c r="H39" s="45" t="s">
        <v>404</v>
      </c>
    </row>
    <row r="40" spans="1:10" x14ac:dyDescent="0.25">
      <c r="A40" s="45">
        <v>39</v>
      </c>
      <c r="C40" s="60">
        <v>45852</v>
      </c>
      <c r="D40" s="45" t="s">
        <v>348</v>
      </c>
      <c r="E40" s="45" t="s">
        <v>258</v>
      </c>
      <c r="F40" s="45" t="s">
        <v>399</v>
      </c>
      <c r="G40" s="45" t="s">
        <v>403</v>
      </c>
      <c r="H40" s="45" t="s">
        <v>404</v>
      </c>
    </row>
    <row r="41" spans="1:10" x14ac:dyDescent="0.25">
      <c r="A41" s="85">
        <v>40</v>
      </c>
      <c r="C41" s="60">
        <v>45852</v>
      </c>
      <c r="D41" s="45" t="s">
        <v>348</v>
      </c>
      <c r="E41" s="45" t="s">
        <v>265</v>
      </c>
      <c r="F41" s="45" t="s">
        <v>400</v>
      </c>
      <c r="G41" s="45" t="s">
        <v>403</v>
      </c>
      <c r="H41" s="45" t="s">
        <v>404</v>
      </c>
    </row>
    <row r="42" spans="1:10" x14ac:dyDescent="0.25">
      <c r="A42" s="45">
        <v>41</v>
      </c>
      <c r="C42" s="60">
        <v>45852</v>
      </c>
      <c r="D42" s="45" t="s">
        <v>349</v>
      </c>
      <c r="E42" s="45" t="s">
        <v>258</v>
      </c>
      <c r="F42" s="45" t="s">
        <v>401</v>
      </c>
      <c r="G42" s="45" t="s">
        <v>403</v>
      </c>
      <c r="H42" s="45" t="s">
        <v>404</v>
      </c>
    </row>
    <row r="43" spans="1:10" x14ac:dyDescent="0.25">
      <c r="A43" s="85">
        <v>42</v>
      </c>
      <c r="C43" s="60">
        <v>45852</v>
      </c>
      <c r="D43" s="45" t="s">
        <v>349</v>
      </c>
      <c r="E43" s="45" t="s">
        <v>265</v>
      </c>
      <c r="F43" s="45" t="s">
        <v>402</v>
      </c>
      <c r="G43" s="45" t="s">
        <v>403</v>
      </c>
      <c r="H43" s="45" t="s">
        <v>404</v>
      </c>
    </row>
    <row r="44" spans="1:10" x14ac:dyDescent="0.25">
      <c r="A44" s="45">
        <v>43</v>
      </c>
      <c r="C44" s="60">
        <v>45860</v>
      </c>
      <c r="D44" s="45" t="s">
        <v>351</v>
      </c>
      <c r="E44" s="45" t="s">
        <v>255</v>
      </c>
      <c r="F44" s="45" t="s">
        <v>412</v>
      </c>
      <c r="G44" s="45" t="s">
        <v>411</v>
      </c>
      <c r="H44" s="45" t="s">
        <v>14</v>
      </c>
    </row>
    <row r="45" spans="1:10" x14ac:dyDescent="0.25">
      <c r="A45" s="85">
        <v>44</v>
      </c>
      <c r="C45" s="60">
        <v>45860</v>
      </c>
      <c r="D45" s="45" t="s">
        <v>352</v>
      </c>
      <c r="E45" s="45" t="s">
        <v>255</v>
      </c>
      <c r="F45" s="45" t="s">
        <v>413</v>
      </c>
      <c r="G45" s="45" t="s">
        <v>411</v>
      </c>
      <c r="H45" s="45" t="s">
        <v>14</v>
      </c>
    </row>
    <row r="46" spans="1:10" x14ac:dyDescent="0.25">
      <c r="A46" s="45">
        <v>45</v>
      </c>
      <c r="C46" s="60">
        <v>45860</v>
      </c>
      <c r="D46" s="45" t="s">
        <v>350</v>
      </c>
      <c r="E46" s="45" t="s">
        <v>255</v>
      </c>
      <c r="F46" s="45" t="s">
        <v>414</v>
      </c>
      <c r="G46" s="45" t="s">
        <v>411</v>
      </c>
      <c r="H46" s="45" t="s">
        <v>14</v>
      </c>
      <c r="J46" s="45" t="s">
        <v>20</v>
      </c>
    </row>
    <row r="47" spans="1:10" x14ac:dyDescent="0.25">
      <c r="A47" s="85">
        <v>46</v>
      </c>
      <c r="B47" s="80">
        <v>45861</v>
      </c>
      <c r="C47" s="60">
        <v>45845</v>
      </c>
      <c r="D47" s="45" t="s">
        <v>422</v>
      </c>
      <c r="F47" s="45" t="s">
        <v>423</v>
      </c>
      <c r="G47" s="45" t="s">
        <v>678</v>
      </c>
      <c r="H47" s="45" t="s">
        <v>42</v>
      </c>
      <c r="I47" s="46" t="s">
        <v>330</v>
      </c>
    </row>
    <row r="48" spans="1:10" x14ac:dyDescent="0.25">
      <c r="A48" s="45">
        <v>47</v>
      </c>
      <c r="B48" s="80">
        <v>45861</v>
      </c>
      <c r="C48" s="60">
        <v>45845</v>
      </c>
      <c r="D48" s="45" t="s">
        <v>422</v>
      </c>
      <c r="F48" s="45" t="s">
        <v>424</v>
      </c>
      <c r="G48" s="45" t="s">
        <v>678</v>
      </c>
      <c r="H48" s="45" t="s">
        <v>42</v>
      </c>
      <c r="I48" s="46" t="s">
        <v>330</v>
      </c>
    </row>
    <row r="49" spans="1:10" x14ac:dyDescent="0.25">
      <c r="A49" s="85">
        <v>48</v>
      </c>
      <c r="B49" s="80">
        <v>45861</v>
      </c>
      <c r="C49" s="60">
        <v>45840</v>
      </c>
      <c r="D49" s="45" t="s">
        <v>425</v>
      </c>
      <c r="F49" s="45" t="s">
        <v>426</v>
      </c>
      <c r="G49" s="45" t="s">
        <v>678</v>
      </c>
      <c r="H49" s="45" t="s">
        <v>42</v>
      </c>
      <c r="I49" s="46" t="s">
        <v>330</v>
      </c>
    </row>
    <row r="50" spans="1:10" x14ac:dyDescent="0.25">
      <c r="A50" s="45">
        <v>49</v>
      </c>
      <c r="B50" s="80">
        <v>45861</v>
      </c>
      <c r="C50" s="60">
        <v>45840</v>
      </c>
      <c r="D50" s="45" t="s">
        <v>427</v>
      </c>
      <c r="F50" s="45" t="s">
        <v>428</v>
      </c>
      <c r="G50" s="45" t="s">
        <v>678</v>
      </c>
      <c r="H50" s="45" t="s">
        <v>42</v>
      </c>
      <c r="I50" s="46" t="s">
        <v>330</v>
      </c>
    </row>
    <row r="51" spans="1:10" x14ac:dyDescent="0.25">
      <c r="A51" s="45">
        <v>50</v>
      </c>
      <c r="B51" s="80">
        <v>45861</v>
      </c>
      <c r="C51" s="60">
        <v>45845</v>
      </c>
      <c r="D51" s="45" t="s">
        <v>429</v>
      </c>
      <c r="F51" s="45" t="s">
        <v>430</v>
      </c>
      <c r="G51" s="45" t="s">
        <v>678</v>
      </c>
      <c r="H51" s="45" t="s">
        <v>42</v>
      </c>
      <c r="I51" s="46" t="s">
        <v>330</v>
      </c>
    </row>
    <row r="52" spans="1:10" x14ac:dyDescent="0.25">
      <c r="A52" s="85">
        <v>51</v>
      </c>
      <c r="B52" s="80">
        <v>45861</v>
      </c>
      <c r="C52" s="60">
        <v>45845</v>
      </c>
      <c r="D52" s="45" t="s">
        <v>429</v>
      </c>
      <c r="F52" s="45" t="s">
        <v>431</v>
      </c>
      <c r="G52" s="45" t="s">
        <v>678</v>
      </c>
      <c r="H52" s="45" t="s">
        <v>42</v>
      </c>
      <c r="I52" s="46" t="s">
        <v>330</v>
      </c>
    </row>
    <row r="53" spans="1:10" x14ac:dyDescent="0.25">
      <c r="A53" s="45">
        <v>52</v>
      </c>
      <c r="B53" s="80">
        <v>45861</v>
      </c>
      <c r="C53" s="60">
        <v>45845</v>
      </c>
      <c r="D53" s="45" t="s">
        <v>434</v>
      </c>
      <c r="F53" s="45" t="s">
        <v>435</v>
      </c>
      <c r="G53" s="45" t="s">
        <v>678</v>
      </c>
      <c r="H53" s="45" t="s">
        <v>42</v>
      </c>
      <c r="I53" s="46" t="s">
        <v>330</v>
      </c>
    </row>
    <row r="54" spans="1:10" x14ac:dyDescent="0.25">
      <c r="A54" s="85">
        <v>53</v>
      </c>
      <c r="B54" s="80">
        <v>45861</v>
      </c>
      <c r="C54" s="60">
        <v>45840</v>
      </c>
      <c r="D54" s="45" t="s">
        <v>432</v>
      </c>
      <c r="F54" s="45" t="s">
        <v>433</v>
      </c>
      <c r="G54" s="45" t="s">
        <v>678</v>
      </c>
      <c r="H54" s="45" t="s">
        <v>42</v>
      </c>
      <c r="I54" s="46" t="s">
        <v>330</v>
      </c>
    </row>
    <row r="55" spans="1:10" x14ac:dyDescent="0.25">
      <c r="A55" s="45">
        <v>54</v>
      </c>
      <c r="B55" s="80">
        <v>45861</v>
      </c>
      <c r="C55" s="60">
        <v>45845</v>
      </c>
      <c r="D55" s="45" t="s">
        <v>440</v>
      </c>
      <c r="F55" s="45" t="s">
        <v>436</v>
      </c>
      <c r="G55" s="45" t="s">
        <v>678</v>
      </c>
      <c r="H55" s="45" t="s">
        <v>42</v>
      </c>
      <c r="I55" s="46" t="s">
        <v>330</v>
      </c>
    </row>
    <row r="56" spans="1:10" x14ac:dyDescent="0.25">
      <c r="A56" s="85">
        <v>55</v>
      </c>
      <c r="B56" s="80">
        <v>45861</v>
      </c>
      <c r="C56" s="60">
        <v>45840</v>
      </c>
      <c r="D56" s="45" t="s">
        <v>441</v>
      </c>
      <c r="F56" s="45" t="s">
        <v>437</v>
      </c>
      <c r="G56" s="45" t="s">
        <v>678</v>
      </c>
      <c r="H56" s="45" t="s">
        <v>42</v>
      </c>
      <c r="I56" s="46" t="s">
        <v>330</v>
      </c>
    </row>
    <row r="57" spans="1:10" x14ac:dyDescent="0.25">
      <c r="A57" s="45">
        <v>56</v>
      </c>
      <c r="B57" s="80">
        <v>45861</v>
      </c>
      <c r="C57" s="60">
        <v>45840</v>
      </c>
      <c r="D57" s="45" t="s">
        <v>442</v>
      </c>
      <c r="F57" s="45" t="s">
        <v>443</v>
      </c>
      <c r="G57" s="45" t="s">
        <v>678</v>
      </c>
      <c r="H57" s="45" t="s">
        <v>42</v>
      </c>
      <c r="I57" s="46" t="s">
        <v>330</v>
      </c>
    </row>
    <row r="58" spans="1:10" x14ac:dyDescent="0.25">
      <c r="A58" s="45">
        <v>57</v>
      </c>
      <c r="B58" s="80">
        <v>45861</v>
      </c>
      <c r="C58" s="60">
        <v>45845</v>
      </c>
      <c r="D58" s="45" t="s">
        <v>438</v>
      </c>
      <c r="F58" s="45" t="s">
        <v>439</v>
      </c>
      <c r="G58" s="45" t="s">
        <v>341</v>
      </c>
      <c r="H58" s="45" t="s">
        <v>42</v>
      </c>
      <c r="I58" s="46" t="s">
        <v>330</v>
      </c>
    </row>
    <row r="59" spans="1:10" x14ac:dyDescent="0.25">
      <c r="A59" s="45">
        <v>58</v>
      </c>
      <c r="B59" s="80">
        <v>45861</v>
      </c>
      <c r="C59" s="60">
        <v>45845</v>
      </c>
      <c r="D59" s="45" t="s">
        <v>438</v>
      </c>
      <c r="F59" s="45" t="s">
        <v>444</v>
      </c>
      <c r="G59" s="45" t="s">
        <v>678</v>
      </c>
      <c r="H59" s="45" t="s">
        <v>42</v>
      </c>
      <c r="I59" s="46" t="s">
        <v>330</v>
      </c>
    </row>
    <row r="60" spans="1:10" x14ac:dyDescent="0.25">
      <c r="A60" s="45">
        <v>59</v>
      </c>
      <c r="C60" s="60">
        <v>45860</v>
      </c>
      <c r="D60" s="45" t="s">
        <v>485</v>
      </c>
      <c r="E60" s="45" t="s">
        <v>265</v>
      </c>
      <c r="F60" s="45" t="s">
        <v>486</v>
      </c>
      <c r="G60" s="45" t="s">
        <v>488</v>
      </c>
      <c r="H60" s="45" t="s">
        <v>13</v>
      </c>
    </row>
    <row r="61" spans="1:10" x14ac:dyDescent="0.25">
      <c r="A61" s="45">
        <v>60</v>
      </c>
      <c r="C61" s="60">
        <v>45860</v>
      </c>
      <c r="D61" s="45" t="s">
        <v>485</v>
      </c>
      <c r="E61" s="45" t="s">
        <v>267</v>
      </c>
      <c r="F61" s="45" t="s">
        <v>487</v>
      </c>
      <c r="G61" s="45" t="s">
        <v>488</v>
      </c>
      <c r="H61" s="45" t="s">
        <v>13</v>
      </c>
    </row>
    <row r="62" spans="1:10" x14ac:dyDescent="0.25">
      <c r="A62" s="45">
        <v>61</v>
      </c>
      <c r="C62" s="60">
        <v>45862</v>
      </c>
      <c r="D62" s="45" t="s">
        <v>243</v>
      </c>
      <c r="F62" s="45" t="s">
        <v>533</v>
      </c>
      <c r="H62" s="45" t="s">
        <v>40</v>
      </c>
    </row>
    <row r="63" spans="1:10" x14ac:dyDescent="0.25">
      <c r="A63" s="45">
        <v>62</v>
      </c>
      <c r="C63" s="60">
        <v>45873</v>
      </c>
      <c r="D63" s="45" t="s">
        <v>587</v>
      </c>
      <c r="F63" s="45" t="s">
        <v>589</v>
      </c>
      <c r="G63" s="45" t="s">
        <v>341</v>
      </c>
      <c r="H63" s="45" t="s">
        <v>40</v>
      </c>
      <c r="J63" s="45" t="s">
        <v>42</v>
      </c>
    </row>
    <row r="64" spans="1:10" x14ac:dyDescent="0.25">
      <c r="A64" s="45">
        <v>63</v>
      </c>
      <c r="C64" s="60">
        <v>45877</v>
      </c>
      <c r="D64" s="45" t="s">
        <v>629</v>
      </c>
      <c r="E64" s="45" t="s">
        <v>255</v>
      </c>
      <c r="F64" s="102" t="s">
        <v>630</v>
      </c>
      <c r="G64" s="45" t="s">
        <v>287</v>
      </c>
      <c r="H64" s="45" t="s">
        <v>13</v>
      </c>
    </row>
    <row r="65" spans="1:10" x14ac:dyDescent="0.25">
      <c r="A65" s="45">
        <v>64</v>
      </c>
      <c r="C65" s="60">
        <v>45877</v>
      </c>
      <c r="D65" s="45" t="s">
        <v>629</v>
      </c>
      <c r="E65" s="45" t="s">
        <v>258</v>
      </c>
      <c r="F65" s="102" t="s">
        <v>631</v>
      </c>
      <c r="G65" s="45" t="s">
        <v>287</v>
      </c>
      <c r="H65" s="45" t="s">
        <v>13</v>
      </c>
    </row>
    <row r="66" spans="1:10" x14ac:dyDescent="0.25">
      <c r="A66" s="45">
        <v>65</v>
      </c>
      <c r="C66" s="60">
        <v>45877</v>
      </c>
      <c r="D66" s="45" t="s">
        <v>650</v>
      </c>
      <c r="E66" s="45" t="s">
        <v>265</v>
      </c>
      <c r="F66" s="102" t="s">
        <v>651</v>
      </c>
      <c r="G66" s="45" t="s">
        <v>287</v>
      </c>
      <c r="H66" s="45" t="s">
        <v>13</v>
      </c>
    </row>
    <row r="67" spans="1:10" x14ac:dyDescent="0.25">
      <c r="A67" s="45">
        <v>66</v>
      </c>
      <c r="C67" s="60">
        <v>45877</v>
      </c>
      <c r="D67" s="45" t="s">
        <v>650</v>
      </c>
      <c r="E67" s="45" t="s">
        <v>267</v>
      </c>
      <c r="F67" s="102" t="s">
        <v>652</v>
      </c>
      <c r="G67" s="45" t="s">
        <v>287</v>
      </c>
      <c r="H67" s="45" t="s">
        <v>13</v>
      </c>
    </row>
    <row r="68" spans="1:10" x14ac:dyDescent="0.25">
      <c r="A68" s="45">
        <v>67</v>
      </c>
      <c r="C68" s="60">
        <v>45880</v>
      </c>
      <c r="D68" s="45" t="s">
        <v>632</v>
      </c>
      <c r="F68" s="45" t="s">
        <v>672</v>
      </c>
      <c r="G68" s="45" t="s">
        <v>673</v>
      </c>
      <c r="H68" s="45" t="s">
        <v>40</v>
      </c>
      <c r="J68" s="45" t="s">
        <v>234</v>
      </c>
    </row>
  </sheetData>
  <autoFilter ref="A1:K58"/>
  <conditionalFormatting sqref="D30">
    <cfRule type="containsText" dxfId="8" priority="7" operator="containsText" text=",">
      <formula>NOT(ISERROR(SEARCH(",",D30)))</formula>
    </cfRule>
    <cfRule type="endsWith" dxfId="7" priority="8" operator="endsWith" text=" ">
      <formula>RIGHT(D30,LEN(" "))=" "</formula>
    </cfRule>
    <cfRule type="duplicateValues" dxfId="6" priority="9"/>
  </conditionalFormatting>
  <conditionalFormatting sqref="D31">
    <cfRule type="containsText" dxfId="5" priority="4" operator="containsText" text=",">
      <formula>NOT(ISERROR(SEARCH(",",D31)))</formula>
    </cfRule>
    <cfRule type="endsWith" dxfId="4" priority="5" operator="endsWith" text=" ">
      <formula>RIGHT(D31,LEN(" "))=" "</formula>
    </cfRule>
    <cfRule type="duplicateValues" dxfId="3" priority="6"/>
  </conditionalFormatting>
  <conditionalFormatting sqref="D32">
    <cfRule type="containsText" dxfId="2" priority="1" operator="containsText" text=",">
      <formula>NOT(ISERROR(SEARCH(",",D32)))</formula>
    </cfRule>
    <cfRule type="endsWith" dxfId="1" priority="2" operator="endsWith" text=" ">
      <formula>RIGHT(D32,LEN(" "))=" "</formula>
    </cfRule>
    <cfRule type="duplicateValues" dxfId="0" priority="3"/>
  </conditionalFormatting>
  <pageMargins left="0.7" right="0.7" top="0.75" bottom="0.75" header="0.3" footer="0.3"/>
  <pageSetup paperSize="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ФОЦ</vt:lpstr>
      <vt:lpstr>ТОЦ</vt:lpstr>
      <vt:lpstr>ПОЦ</vt:lpstr>
      <vt:lpstr>Акты внедрения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Баранов Павел Эдуардович</dc:creator>
  <cp:lastModifiedBy>Баранов Павел Эдуардович</cp:lastModifiedBy>
  <cp:lastPrinted>2025-06-16T14:25:00Z</cp:lastPrinted>
  <dcterms:created xsi:type="dcterms:W3CDTF">2025-01-27T14:07:55Z</dcterms:created>
  <dcterms:modified xsi:type="dcterms:W3CDTF">2025-08-14T05:54:26Z</dcterms:modified>
</cp:coreProperties>
</file>