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835" tabRatio="600" firstSheet="0" activeTab="3" autoFilterDateGrouping="1"/>
  </bookViews>
  <sheets>
    <sheet name="ЖП" sheetId="1" state="visible" r:id="rId1"/>
    <sheet name="СЗ" sheetId="2" state="visible" r:id="rId2"/>
    <sheet name="Бам по УП" sheetId="3" state="visible" r:id="rId3"/>
    <sheet name="Общая информация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-mm-dd h:mm:ss"/>
  </numFmts>
  <fonts count="5">
    <font>
      <name val="Calibri"/>
      <family val="2"/>
      <color theme="1"/>
      <sz val="11"/>
      <scheme val="minor"/>
    </font>
    <font>
      <name val="Calibri"/>
      <color rgb="FF000000"/>
      <sz val="11"/>
    </font>
    <font>
      <name val="Calibri"/>
      <color rgb="FFF2ECDE"/>
      <sz val="11"/>
    </font>
    <font>
      <color rgb="00000000"/>
    </font>
    <font>
      <color rgb="00f2ecde"/>
    </font>
  </fonts>
  <fills count="10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6F747C"/>
      </patternFill>
    </fill>
    <fill>
      <patternFill patternType="solid">
        <fgColor rgb="FFAAADB2"/>
      </patternFill>
    </fill>
    <fill>
      <patternFill patternType="solid">
        <fgColor rgb="FF808080"/>
      </patternFill>
    </fill>
    <fill>
      <patternFill patternType="solid">
        <fgColor rgb="00808080"/>
      </patternFill>
    </fill>
    <fill>
      <patternFill patternType="solid">
        <fgColor rgb="00d9d9d9"/>
      </patternFill>
    </fill>
    <fill>
      <patternFill patternType="solid">
        <fgColor rgb="006f747c"/>
      </patternFill>
    </fill>
    <fill>
      <patternFill patternType="solid">
        <fgColor rgb="00aaad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  <xf numFmtId="164" fontId="2" fillId="3" borderId="0" pivotButton="0" quotePrefix="0" xfId="0"/>
    <xf numFmtId="0" fontId="1" fillId="4" borderId="0" pivotButton="0" quotePrefix="0" xfId="0"/>
    <xf numFmtId="0" fontId="2" fillId="2" borderId="0" pivotButton="0" quotePrefix="0" xfId="0"/>
    <xf numFmtId="0" fontId="1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4" fillId="8" borderId="0" pivotButton="0" quotePrefix="0" xfId="0"/>
    <xf numFmtId="165" fontId="4" fillId="8" borderId="0" pivotButton="0" quotePrefix="0" xfId="0"/>
    <xf numFmtId="0" fontId="3" fillId="9" borderId="0" pivotButton="0" quotePrefix="0" xfId="0"/>
    <xf numFmtId="0" fontId="4" fillId="7" borderId="0" pivotButton="0" quotePrefix="0" xfId="0"/>
    <xf numFmtId="165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18" customWidth="1" min="4" max="4"/>
    <col width="11" customWidth="1" min="5" max="5"/>
    <col width="21" customWidth="1" min="6" max="6"/>
    <col width="4" customWidth="1" min="7" max="7"/>
  </cols>
  <sheetData>
    <row r="1">
      <c r="B1" s="9" t="inlineStr">
        <is>
          <t>Задач</t>
        </is>
      </c>
      <c r="C1" s="9" t="inlineStr">
        <is>
          <t>Переводов</t>
        </is>
      </c>
    </row>
    <row r="2">
      <c r="B2" s="8" t="n">
        <v>13</v>
      </c>
      <c r="C2" t="n">
        <v>0</v>
      </c>
    </row>
    <row r="5">
      <c r="B5" s="9" t="inlineStr">
        <is>
          <t>Дата</t>
        </is>
      </c>
      <c r="C5" s="9" t="inlineStr">
        <is>
          <t>Вып. Задач</t>
        </is>
      </c>
      <c r="D5" s="9" t="inlineStr">
        <is>
          <t>Доб. Задач</t>
        </is>
      </c>
    </row>
    <row r="6">
      <c r="B6" s="8" t="inlineStr">
        <is>
          <t>2025-09-15</t>
        </is>
      </c>
      <c r="C6" t="n">
        <v>0</v>
      </c>
      <c r="D6" t="n">
        <v>0</v>
      </c>
    </row>
    <row r="7">
      <c r="B7" s="8" t="inlineStr">
        <is>
          <t>2025-09-14</t>
        </is>
      </c>
      <c r="C7" t="n">
        <v>0</v>
      </c>
      <c r="D7" t="n">
        <v>0</v>
      </c>
    </row>
    <row r="8">
      <c r="B8" s="8" t="inlineStr">
        <is>
          <t>2025-09-13</t>
        </is>
      </c>
      <c r="C8" t="n">
        <v>0</v>
      </c>
      <c r="D8" t="n">
        <v>0</v>
      </c>
    </row>
    <row r="9">
      <c r="B9" s="8" t="inlineStr">
        <is>
          <t>2025-09-12</t>
        </is>
      </c>
      <c r="C9" t="n">
        <v>0</v>
      </c>
      <c r="D9" t="n">
        <v>0</v>
      </c>
    </row>
    <row r="12">
      <c r="A12" s="9" t="inlineStr">
        <is>
          <t xml:space="preserve">номер </t>
        </is>
      </c>
      <c r="B12" s="9" t="inlineStr">
        <is>
          <t>Дата</t>
        </is>
      </c>
      <c r="C12" s="9" t="inlineStr">
        <is>
          <t>ДСЕ</t>
        </is>
      </c>
      <c r="D12" s="9" t="inlineStr">
        <is>
          <t>Наименов.</t>
        </is>
      </c>
      <c r="E12" s="9" t="inlineStr">
        <is>
          <t>Перевод</t>
        </is>
      </c>
      <c r="F12" s="9" t="inlineStr">
        <is>
          <t>Вопрос принят ФИО</t>
        </is>
      </c>
    </row>
    <row r="13">
      <c r="A13" t="n">
        <v>854</v>
      </c>
      <c r="B13" s="8" t="inlineStr">
        <is>
          <t>2025-03-07</t>
        </is>
      </c>
      <c r="C13" t="inlineStr">
        <is>
          <t>ПБИН.757400.146</t>
        </is>
      </c>
      <c r="D13" t="inlineStr">
        <is>
          <t>Шина</t>
        </is>
      </c>
      <c r="F13" t="inlineStr">
        <is>
          <t>Нефатова Е.А.</t>
        </is>
      </c>
    </row>
    <row r="14">
      <c r="A14" t="n">
        <v>1010</v>
      </c>
      <c r="B14" s="8" t="inlineStr">
        <is>
          <t>2025-07-30</t>
        </is>
      </c>
      <c r="C14" t="inlineStr">
        <is>
          <t>ЕКБЛТИЯ.741512.065</t>
        </is>
      </c>
      <c r="D14" t="inlineStr">
        <is>
          <t>Пластина</t>
        </is>
      </c>
      <c r="F14" t="inlineStr">
        <is>
          <t>Нефатова Е.А.</t>
        </is>
      </c>
    </row>
    <row r="15">
      <c r="A15" t="n">
        <v>1011</v>
      </c>
      <c r="B15" s="8" t="inlineStr">
        <is>
          <t>2025-07-30</t>
        </is>
      </c>
      <c r="C15" t="inlineStr">
        <is>
          <t>ПБИН.757400.117</t>
        </is>
      </c>
      <c r="D15" t="inlineStr">
        <is>
          <t>Шина</t>
        </is>
      </c>
    </row>
    <row r="16">
      <c r="A16" t="n">
        <v>1041</v>
      </c>
      <c r="B16" s="8" t="inlineStr">
        <is>
          <t>2025-08-07</t>
        </is>
      </c>
      <c r="C16" t="inlineStr">
        <is>
          <t>ЕКБЛТИЯ.735214.030</t>
        </is>
      </c>
      <c r="D16" t="inlineStr">
        <is>
          <t>Корпус</t>
        </is>
      </c>
    </row>
    <row r="17">
      <c r="A17" t="n">
        <v>1055</v>
      </c>
      <c r="B17" s="8" t="inlineStr">
        <is>
          <t>2025-08-07</t>
        </is>
      </c>
      <c r="C17" t="inlineStr">
        <is>
          <t>ЛТИЯ.741134.258</t>
        </is>
      </c>
      <c r="D17" t="inlineStr">
        <is>
          <t>Плата</t>
        </is>
      </c>
    </row>
    <row r="18">
      <c r="A18" t="n">
        <v>1056</v>
      </c>
      <c r="B18" s="8" t="inlineStr">
        <is>
          <t>2025-08-07</t>
        </is>
      </c>
      <c r="C18" t="inlineStr">
        <is>
          <t>ЕКБЛТИЯ.735214.051</t>
        </is>
      </c>
      <c r="D18" t="inlineStr">
        <is>
          <t>Стенка боковая</t>
        </is>
      </c>
    </row>
    <row r="19">
      <c r="A19" t="n">
        <v>1070</v>
      </c>
      <c r="B19" s="8" t="inlineStr">
        <is>
          <t>2025-08-25</t>
        </is>
      </c>
      <c r="C19" t="inlineStr">
        <is>
          <t>ПБИН.741101.789</t>
        </is>
      </c>
      <c r="D19" t="inlineStr">
        <is>
          <t>Плата</t>
        </is>
      </c>
      <c r="F19" t="inlineStr">
        <is>
          <t>Талагаев И.В.</t>
        </is>
      </c>
    </row>
    <row r="20">
      <c r="A20" t="n">
        <v>1073</v>
      </c>
      <c r="B20" s="8" t="inlineStr">
        <is>
          <t>2025-08-25</t>
        </is>
      </c>
      <c r="C20" t="inlineStr">
        <is>
          <t>ПБИН.741102.427</t>
        </is>
      </c>
      <c r="D20" t="inlineStr">
        <is>
          <t>Плата</t>
        </is>
      </c>
      <c r="F20" t="inlineStr">
        <is>
          <t>Талагаев И.В.</t>
        </is>
      </c>
    </row>
    <row r="21">
      <c r="A21" t="n">
        <v>1074</v>
      </c>
      <c r="B21" s="8" t="inlineStr">
        <is>
          <t>2025-08-29</t>
        </is>
      </c>
      <c r="C21" t="inlineStr">
        <is>
          <t>ПБИН.741101.493</t>
        </is>
      </c>
      <c r="D21" t="inlineStr">
        <is>
          <t>Плата</t>
        </is>
      </c>
      <c r="F21" t="inlineStr">
        <is>
          <t>Талагаев И.В.</t>
        </is>
      </c>
    </row>
    <row r="22">
      <c r="A22" t="n">
        <v>1075</v>
      </c>
      <c r="B22" s="8" t="inlineStr">
        <is>
          <t>2025-08-29</t>
        </is>
      </c>
      <c r="C22" t="inlineStr">
        <is>
          <t xml:space="preserve">ЕР8.366.384 </t>
        </is>
      </c>
      <c r="D22" t="inlineStr">
        <is>
          <t>Упор</t>
        </is>
      </c>
    </row>
    <row r="23">
      <c r="A23" t="n">
        <v>1076</v>
      </c>
      <c r="B23" s="8" t="inlineStr">
        <is>
          <t>2025-09-03</t>
        </is>
      </c>
      <c r="C23" t="inlineStr">
        <is>
          <t>ПБИН.301261.060 (все исполнения)</t>
        </is>
      </c>
      <c r="D23" t="inlineStr">
        <is>
          <t>Крышка</t>
        </is>
      </c>
    </row>
    <row r="24">
      <c r="A24" t="n">
        <v>1077</v>
      </c>
      <c r="B24" s="8" t="inlineStr">
        <is>
          <t>2025-09-03</t>
        </is>
      </c>
      <c r="C24" t="inlineStr">
        <is>
          <t>ПБИН.301261.071 (все исполнения)</t>
        </is>
      </c>
      <c r="D24" t="inlineStr">
        <is>
          <t>Крышка</t>
        </is>
      </c>
    </row>
    <row r="25">
      <c r="A25" t="n">
        <v>1078</v>
      </c>
      <c r="B25" s="8" t="inlineStr">
        <is>
          <t>2025-09-03</t>
        </is>
      </c>
      <c r="C25" t="inlineStr">
        <is>
          <t>ПБИН.301261.134 (все исполнения)</t>
        </is>
      </c>
      <c r="D25" t="inlineStr">
        <is>
          <t>Крышка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9" t="inlineStr">
        <is>
          <t>Дата:</t>
        </is>
      </c>
      <c r="B1" s="10" t="n">
        <v>45910.65805555556</v>
      </c>
      <c r="C1" s="9" t="inlineStr"/>
      <c r="D1" s="9" t="inlineStr">
        <is>
          <t>2025</t>
        </is>
      </c>
      <c r="E1" s="9" t="inlineStr">
        <is>
          <t>2024</t>
        </is>
      </c>
      <c r="F1" s="9" t="inlineStr">
        <is>
          <t>2023</t>
        </is>
      </c>
      <c r="G1" s="9" t="inlineStr">
        <is>
          <t>2022</t>
        </is>
      </c>
    </row>
    <row r="2">
      <c r="A2" s="9" t="inlineStr"/>
    </row>
    <row r="3">
      <c r="A3" s="9" t="inlineStr">
        <is>
          <t>Итого</t>
        </is>
      </c>
      <c r="B3" s="8" t="n">
        <v>537</v>
      </c>
      <c r="D3" s="8" t="n">
        <v>279</v>
      </c>
      <c r="E3" s="8" t="n">
        <v>202</v>
      </c>
      <c r="F3" s="8" t="n">
        <v>64</v>
      </c>
      <c r="G3" s="8" t="n">
        <v>0</v>
      </c>
    </row>
    <row r="4">
      <c r="A4" s="9" t="inlineStr">
        <is>
          <t>ФОЦ</t>
        </is>
      </c>
      <c r="B4" t="n">
        <v>181</v>
      </c>
      <c r="D4" t="n">
        <v>111</v>
      </c>
      <c r="E4" t="n">
        <v>52</v>
      </c>
      <c r="F4" t="n">
        <v>25</v>
      </c>
      <c r="G4" t="n">
        <v>0</v>
      </c>
    </row>
    <row r="5">
      <c r="A5" s="9" t="inlineStr">
        <is>
          <t>ТОЦ</t>
        </is>
      </c>
      <c r="B5" t="n">
        <v>184</v>
      </c>
      <c r="D5" t="n">
        <v>102</v>
      </c>
      <c r="E5" t="n">
        <v>72</v>
      </c>
      <c r="F5" t="n">
        <v>11</v>
      </c>
      <c r="G5" t="n">
        <v>0</v>
      </c>
    </row>
    <row r="6">
      <c r="A6" s="9" t="inlineStr">
        <is>
          <t>ПОЦ</t>
        </is>
      </c>
      <c r="B6" t="n">
        <v>172</v>
      </c>
      <c r="D6" t="n">
        <v>66</v>
      </c>
      <c r="E6" t="n">
        <v>78</v>
      </c>
      <c r="F6" t="n">
        <v>28</v>
      </c>
      <c r="G6" t="n">
        <v>0</v>
      </c>
    </row>
    <row r="7">
      <c r="A7" s="9" t="inlineStr"/>
    </row>
    <row r="8">
      <c r="A8" s="9" t="inlineStr">
        <is>
          <t>РЦ 11102</t>
        </is>
      </c>
      <c r="B8" t="n">
        <v>46</v>
      </c>
      <c r="D8" t="n">
        <v>19</v>
      </c>
      <c r="E8" t="n">
        <v>12</v>
      </c>
      <c r="F8" t="n">
        <v>15</v>
      </c>
      <c r="G8" t="n">
        <v>0</v>
      </c>
    </row>
    <row r="9">
      <c r="A9" s="9" t="inlineStr">
        <is>
          <t>РЦ 11402</t>
        </is>
      </c>
      <c r="B9" t="n">
        <v>184</v>
      </c>
      <c r="D9" t="n">
        <v>102</v>
      </c>
      <c r="E9" t="n">
        <v>72</v>
      </c>
      <c r="F9" t="n">
        <v>11</v>
      </c>
      <c r="G9" t="n">
        <v>0</v>
      </c>
    </row>
    <row r="10">
      <c r="A10" s="9" t="inlineStr">
        <is>
          <t>РЦ 11403</t>
        </is>
      </c>
      <c r="B10" t="n">
        <v>135</v>
      </c>
      <c r="D10" t="n">
        <v>92</v>
      </c>
      <c r="E10" t="n">
        <v>40</v>
      </c>
      <c r="F10" t="n">
        <v>10</v>
      </c>
      <c r="G10" t="n">
        <v>0</v>
      </c>
    </row>
    <row r="11">
      <c r="A11" s="9" t="inlineStr">
        <is>
          <t>РЦ 11404</t>
        </is>
      </c>
      <c r="B11" t="n">
        <v>172</v>
      </c>
      <c r="D11" t="n">
        <v>66</v>
      </c>
      <c r="E11" t="n">
        <v>78</v>
      </c>
      <c r="F11" t="n">
        <v>28</v>
      </c>
      <c r="G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41" customWidth="1" min="3" max="3"/>
    <col width="32" customWidth="1" min="4" max="4"/>
    <col width="35" customWidth="1" min="5" max="5"/>
    <col width="20" customWidth="1" min="6" max="6"/>
    <col width="8" customWidth="1" min="7" max="7"/>
    <col width="14" customWidth="1" min="8" max="8"/>
    <col width="17" customWidth="1" min="9" max="9"/>
    <col width="21" customWidth="1" min="10" max="10"/>
    <col width="205" customWidth="1" min="11" max="11"/>
  </cols>
  <sheetData>
    <row r="1">
      <c r="A1" s="9" t="inlineStr">
        <is>
          <t>ФОЦ</t>
        </is>
      </c>
      <c r="B1" s="9" t="inlineStr">
        <is>
          <t>Инф для Нач.бюро</t>
        </is>
      </c>
      <c r="C1" s="9" t="inlineStr">
        <is>
          <t>Изделие</t>
        </is>
      </c>
      <c r="D1" s="9" t="inlineStr">
        <is>
          <t>Фрезерные ЧПУ</t>
        </is>
      </c>
      <c r="E1" s="9" t="inlineStr">
        <is>
          <t>Наименование</t>
        </is>
      </c>
      <c r="F1" s="9" t="inlineStr">
        <is>
          <t>нов./ кор./ акт.</t>
        </is>
      </c>
      <c r="G1" s="9" t="inlineStr">
        <is>
          <t>УП</t>
        </is>
      </c>
      <c r="H1" s="9" t="inlineStr">
        <is>
          <t>Дата</t>
        </is>
      </c>
      <c r="I1" s="9" t="inlineStr">
        <is>
          <t>Ф. И. О.</t>
        </is>
      </c>
      <c r="J1" s="9" t="inlineStr">
        <is>
          <t>Получение задания</t>
        </is>
      </c>
      <c r="K1" s="9" t="inlineStr">
        <is>
          <t>Комментарий</t>
        </is>
      </c>
    </row>
    <row r="2">
      <c r="A2" s="11" t="inlineStr"/>
      <c r="B2" s="11" t="inlineStr"/>
      <c r="C2" s="11" t="inlineStr"/>
      <c r="D2" s="11" t="n">
        <v>5</v>
      </c>
      <c r="E2" s="11" t="inlineStr"/>
      <c r="F2" s="11" t="inlineStr"/>
      <c r="G2" s="11" t="n">
        <v>10</v>
      </c>
      <c r="H2" s="11" t="inlineStr"/>
      <c r="I2" s="11" t="inlineStr"/>
      <c r="J2" s="11" t="inlineStr"/>
      <c r="K2" s="11" t="inlineStr"/>
    </row>
    <row r="3">
      <c r="A3" s="12" t="inlineStr"/>
      <c r="B3" t="inlineStr">
        <is>
          <t>СЗ от 20.08.2025</t>
        </is>
      </c>
      <c r="C3" t="inlineStr">
        <is>
          <t>2А64 Сб36-500 Блок контроля досылания</t>
        </is>
      </c>
      <c r="D3" t="inlineStr">
        <is>
          <t>36-88 Шайба</t>
        </is>
      </c>
      <c r="F3" t="inlineStr">
        <is>
          <t>нов</t>
        </is>
      </c>
      <c r="G3" t="n">
        <v>1</v>
      </c>
      <c r="H3" t="inlineStr">
        <is>
          <t>2025.09.09</t>
        </is>
      </c>
      <c r="I3" t="inlineStr">
        <is>
          <t>Смирнов И.А.</t>
        </is>
      </c>
      <c r="J3" t="inlineStr">
        <is>
          <t>ОГТ</t>
        </is>
      </c>
      <c r="K3" t="inlineStr">
        <is>
          <t>11102, 4шт на 1изделие (обратить внимание на название ДСЕ, так и называть папку с ним)</t>
        </is>
      </c>
    </row>
    <row r="4">
      <c r="A4" s="12" t="inlineStr"/>
      <c r="B4" t="inlineStr">
        <is>
          <t>СЗ от 20.08.2025</t>
        </is>
      </c>
      <c r="C4" t="inlineStr">
        <is>
          <t>2А64 Сб36-500 Блок контроля досылания</t>
        </is>
      </c>
      <c r="D4" t="inlineStr">
        <is>
          <t>36-81 Прокладка</t>
        </is>
      </c>
      <c r="F4" t="inlineStr">
        <is>
          <t>нов</t>
        </is>
      </c>
      <c r="G4" t="n">
        <v>1</v>
      </c>
      <c r="H4" t="inlineStr">
        <is>
          <t>2025.09.09</t>
        </is>
      </c>
      <c r="I4" t="inlineStr">
        <is>
          <t>Смирнов И.А.</t>
        </is>
      </c>
      <c r="J4" t="inlineStr">
        <is>
          <t>ОГТ</t>
        </is>
      </c>
      <c r="K4" t="inlineStr">
        <is>
          <t>11102, 3шт на 1изделие (обратить внимание на название ДСЕ, так и называть папку с ним)</t>
        </is>
      </c>
    </row>
    <row r="5">
      <c r="A5" s="12" t="inlineStr"/>
      <c r="B5" t="inlineStr">
        <is>
          <t>ЖП</t>
        </is>
      </c>
      <c r="D5" t="inlineStr">
        <is>
          <t>ЛТИЯ.741542.020</t>
        </is>
      </c>
      <c r="E5" t="inlineStr">
        <is>
          <t>Радиатор</t>
        </is>
      </c>
      <c r="F5" t="inlineStr">
        <is>
          <t>кор</t>
        </is>
      </c>
      <c r="G5" t="n">
        <v>1</v>
      </c>
      <c r="H5" t="inlineStr">
        <is>
          <t>2025.09.09</t>
        </is>
      </c>
      <c r="I5" t="inlineStr">
        <is>
          <t>Боткин А.А.</t>
        </is>
      </c>
      <c r="J5" t="inlineStr">
        <is>
          <t>ЖП</t>
        </is>
      </c>
      <c r="K5" t="inlineStr">
        <is>
          <t>Оценить необходимость изменений, и провести их в случае необходимости</t>
        </is>
      </c>
    </row>
    <row r="6">
      <c r="A6" s="12" t="inlineStr"/>
      <c r="B6" t="inlineStr">
        <is>
          <t>Письмо БПП от 01.09.2025</t>
        </is>
      </c>
      <c r="C6" t="inlineStr">
        <is>
          <t>ГТ для МСНИ</t>
        </is>
      </c>
      <c r="D6" t="inlineStr">
        <is>
          <t>ГТ-Э6111.00.21.02</t>
        </is>
      </c>
      <c r="E6" t="inlineStr">
        <is>
          <t>Упор конусный</t>
        </is>
      </c>
      <c r="F6" t="inlineStr">
        <is>
          <t>нов</t>
        </is>
      </c>
      <c r="G6" t="n">
        <v>3</v>
      </c>
      <c r="H6" t="inlineStr">
        <is>
          <t>2025.09.09</t>
        </is>
      </c>
      <c r="I6" t="inlineStr">
        <is>
          <t>Боткин А.А.</t>
        </is>
      </c>
      <c r="J6" t="inlineStr">
        <is>
          <t>ОГТ</t>
        </is>
      </c>
      <c r="K6" t="inlineStr">
        <is>
          <t>Согласовать с токарями. Круг 100,0 из стали 45. КД Y:\Служба Главного инженера\ОГТ\Подготовка производства\Бакаидов А.А\Оснастка\МСНИ\ГТ-Э6111.00.16.00 - Державка для 3х пластин</t>
        </is>
      </c>
    </row>
    <row r="7">
      <c r="A7" s="12" t="inlineStr"/>
      <c r="B7" t="inlineStr">
        <is>
          <t>Письмо БПП от 01.09.2025</t>
        </is>
      </c>
      <c r="C7" t="inlineStr">
        <is>
          <t>ГТ для МСНИ</t>
        </is>
      </c>
      <c r="D7" t="inlineStr">
        <is>
          <t>ГТ-Э6111.00.16.02</t>
        </is>
      </c>
      <c r="E7" t="inlineStr">
        <is>
          <t>Хвостовик</t>
        </is>
      </c>
      <c r="F7" t="inlineStr">
        <is>
          <t>нов</t>
        </is>
      </c>
      <c r="G7" t="n">
        <v>4</v>
      </c>
      <c r="H7" t="inlineStr">
        <is>
          <t>2025.09.09</t>
        </is>
      </c>
      <c r="I7" t="inlineStr">
        <is>
          <t>Нефатова Е.А.</t>
        </is>
      </c>
      <c r="J7" t="inlineStr">
        <is>
          <t>ОГТ</t>
        </is>
      </c>
      <c r="K7" t="inlineStr">
        <is>
          <t>согласовать с Тагиром и Артемом. Круг 40,0 в квадрат 25,0 из стали 40Х. КД Y:\Служба Главного инженера\ОГТ\Подготовка производства\Бакаидов А.А\Оснастка\МСНИ\ГТ-Э6111.00.16.00 - Державка для 3х пластин</t>
        </is>
      </c>
    </row>
    <row r="8">
      <c r="A8" s="11" t="inlineStr"/>
      <c r="B8" s="11" t="inlineStr"/>
      <c r="C8" s="11" t="inlineStr"/>
      <c r="D8" s="11" t="n">
        <v>9</v>
      </c>
      <c r="E8" s="11" t="inlineStr"/>
      <c r="F8" s="11" t="inlineStr"/>
      <c r="G8" s="11" t="n">
        <v>20</v>
      </c>
      <c r="H8" s="11" t="inlineStr"/>
      <c r="I8" s="11" t="inlineStr"/>
      <c r="J8" s="11" t="inlineStr"/>
      <c r="K8" s="11" t="inlineStr"/>
    </row>
    <row r="9">
      <c r="A9" s="12" t="inlineStr"/>
      <c r="B9" t="inlineStr">
        <is>
          <t>СЗ от 14.05.2025</t>
        </is>
      </c>
      <c r="C9" t="inlineStr">
        <is>
          <t>Аппаратная АКУ</t>
        </is>
      </c>
      <c r="D9" t="inlineStr">
        <is>
          <t>ЛТИЯ.741234.072</t>
        </is>
      </c>
      <c r="E9" t="inlineStr">
        <is>
          <t>Бобышка</t>
        </is>
      </c>
      <c r="F9" t="inlineStr">
        <is>
          <t>нов</t>
        </is>
      </c>
      <c r="G9" t="n">
        <v>3</v>
      </c>
      <c r="H9" t="inlineStr">
        <is>
          <t>2025.09.10</t>
        </is>
      </c>
      <c r="I9" t="inlineStr">
        <is>
          <t>Боткин А.А.</t>
        </is>
      </c>
      <c r="J9" t="inlineStr">
        <is>
          <t>ОГТ</t>
        </is>
      </c>
      <c r="K9" t="inlineStr">
        <is>
          <t>НЕ Актуализация</t>
        </is>
      </c>
    </row>
    <row r="10">
      <c r="A10" s="12" t="inlineStr"/>
      <c r="B10" t="inlineStr">
        <is>
          <t>СЗ№12/128</t>
        </is>
      </c>
      <c r="C10" t="inlineStr">
        <is>
          <t>Р-161-5ПРД ЕР2.013.012-16…-18</t>
        </is>
      </c>
      <c r="D10" t="inlineStr">
        <is>
          <t>ЛТИЯ.724511.009</t>
        </is>
      </c>
      <c r="E10" t="inlineStr">
        <is>
          <t>Скоба</t>
        </is>
      </c>
      <c r="F10" t="inlineStr">
        <is>
          <t>акт</t>
        </is>
      </c>
      <c r="G10" t="n">
        <v>0</v>
      </c>
      <c r="H10" t="inlineStr">
        <is>
          <t>2025.09.10</t>
        </is>
      </c>
      <c r="I10" t="inlineStr">
        <is>
          <t>Боткин А.А.</t>
        </is>
      </c>
      <c r="J10" t="inlineStr">
        <is>
          <t>ОГТ</t>
        </is>
      </c>
      <c r="K10" t="inlineStr">
        <is>
          <t>актуализация</t>
        </is>
      </c>
    </row>
    <row r="11">
      <c r="A11" s="12" t="inlineStr"/>
      <c r="B11" t="inlineStr">
        <is>
          <t>СЗ от 12.02.2025</t>
        </is>
      </c>
      <c r="C11" t="inlineStr">
        <is>
          <t>Р-161-5ПРД ЕР2.013.012-16…-18</t>
        </is>
      </c>
      <c r="D11" t="inlineStr">
        <is>
          <t>ЛТИЯ.746142.027</t>
        </is>
      </c>
      <c r="E11" t="inlineStr">
        <is>
          <t>Уголок</t>
        </is>
      </c>
      <c r="F11" t="inlineStr">
        <is>
          <t>нов</t>
        </is>
      </c>
      <c r="G11" t="n">
        <v>1</v>
      </c>
      <c r="H11" t="inlineStr">
        <is>
          <t>2025.09.10</t>
        </is>
      </c>
      <c r="I11" t="inlineStr">
        <is>
          <t>Смирнов И.А.</t>
        </is>
      </c>
    </row>
    <row r="12">
      <c r="A12" s="12" t="inlineStr"/>
      <c r="B12" t="inlineStr">
        <is>
          <t>СЗ от 15.02.2025</t>
        </is>
      </c>
      <c r="C12" t="inlineStr">
        <is>
          <t>Р-161-5ПРД ЕР2.013.012-16…-18</t>
        </is>
      </c>
      <c r="D12" t="inlineStr">
        <is>
          <t>ЛТИЯ.746122.069</t>
        </is>
      </c>
      <c r="E12" t="inlineStr">
        <is>
          <t>Уголок</t>
        </is>
      </c>
      <c r="F12" t="inlineStr">
        <is>
          <t>нов</t>
        </is>
      </c>
      <c r="G12" t="n">
        <v>3</v>
      </c>
      <c r="H12" t="inlineStr">
        <is>
          <t>2025.09.10</t>
        </is>
      </c>
      <c r="I12" t="inlineStr">
        <is>
          <t>Смирнов И.А.</t>
        </is>
      </c>
    </row>
    <row r="13">
      <c r="A13" s="12" t="inlineStr"/>
      <c r="B13" t="inlineStr">
        <is>
          <t>СЗ от 15.02.2025</t>
        </is>
      </c>
      <c r="C13" t="inlineStr">
        <is>
          <t>Р-161-5ПРД ЕР2.013.012-16…-18</t>
        </is>
      </c>
      <c r="D13" t="inlineStr">
        <is>
          <t>ЛТИЯ.741128.637</t>
        </is>
      </c>
      <c r="E13" t="inlineStr">
        <is>
          <t>Панель</t>
        </is>
      </c>
      <c r="F13" t="inlineStr">
        <is>
          <t>нов</t>
        </is>
      </c>
      <c r="G13" t="n">
        <v>2</v>
      </c>
      <c r="H13" t="inlineStr">
        <is>
          <t>2025.09.10</t>
        </is>
      </c>
      <c r="I13" t="inlineStr">
        <is>
          <t>Смирнов И.А.</t>
        </is>
      </c>
    </row>
    <row r="14">
      <c r="A14" s="12" t="inlineStr"/>
      <c r="B14" t="inlineStr">
        <is>
          <t>СЗ от 12.02.2025</t>
        </is>
      </c>
      <c r="C14" t="inlineStr">
        <is>
          <t>Р-161-5ПРД ЕР2.013.012-16…-18</t>
        </is>
      </c>
      <c r="D14" t="inlineStr">
        <is>
          <t>ЛТИЯ.734311.008</t>
        </is>
      </c>
      <c r="E14" t="inlineStr">
        <is>
          <t>Стойка</t>
        </is>
      </c>
      <c r="F14" t="inlineStr">
        <is>
          <t>акт</t>
        </is>
      </c>
      <c r="G14" t="n">
        <v>0</v>
      </c>
      <c r="H14" t="inlineStr">
        <is>
          <t>2025.09.10</t>
        </is>
      </c>
      <c r="I14" t="inlineStr">
        <is>
          <t>Боткин А.А.</t>
        </is>
      </c>
      <c r="J14" t="inlineStr">
        <is>
          <t>ОГТ</t>
        </is>
      </c>
      <c r="K14" t="inlineStr">
        <is>
          <t>актуализация</t>
        </is>
      </c>
    </row>
    <row r="15">
      <c r="A15" s="12" t="inlineStr"/>
      <c r="B15" t="inlineStr">
        <is>
          <t>СЗ от 10.07.2025</t>
        </is>
      </c>
      <c r="C15" t="inlineStr">
        <is>
          <t>Шкаф АС</t>
        </is>
      </c>
      <c r="D15" t="inlineStr">
        <is>
          <t>ЛТИЯ.741424.288</t>
        </is>
      </c>
      <c r="E15" t="inlineStr">
        <is>
          <t>Планка</t>
        </is>
      </c>
      <c r="F15" t="inlineStr">
        <is>
          <t>кор</t>
        </is>
      </c>
      <c r="G15" t="n">
        <v>2</v>
      </c>
      <c r="H15" t="inlineStr">
        <is>
          <t>2025.09.10</t>
        </is>
      </c>
      <c r="I15" t="inlineStr">
        <is>
          <t>Боткин А.А.</t>
        </is>
      </c>
      <c r="J15" t="inlineStr">
        <is>
          <t>ОГТ</t>
        </is>
      </c>
    </row>
    <row r="16">
      <c r="A16" s="12" t="inlineStr"/>
      <c r="B16" t="inlineStr">
        <is>
          <t>БАМ</t>
        </is>
      </c>
      <c r="C16" t="inlineStr">
        <is>
          <t>ГТ для МСНИ</t>
        </is>
      </c>
      <c r="D16" t="inlineStr">
        <is>
          <t>ГТ-Э6111.00.00.37</t>
        </is>
      </c>
      <c r="E16" t="inlineStr">
        <is>
          <t>Доработка резьбовой державки SER2525M16</t>
        </is>
      </c>
      <c r="F16" t="inlineStr">
        <is>
          <t>нов</t>
        </is>
      </c>
      <c r="G16" t="n">
        <v>2</v>
      </c>
      <c r="H16" t="inlineStr">
        <is>
          <t>2025.09.10</t>
        </is>
      </c>
      <c r="I16" t="inlineStr">
        <is>
          <t>Талагаев И.В.</t>
        </is>
      </c>
      <c r="J16" t="inlineStr">
        <is>
          <t>ОГТ</t>
        </is>
      </c>
      <c r="K16" t="inlineStr">
        <is>
          <t>новая. Заготовка лежит на ИНС 1704</t>
        </is>
      </c>
    </row>
    <row r="17">
      <c r="A17" s="12" t="inlineStr"/>
      <c r="B17" t="inlineStr">
        <is>
          <t>БАМ</t>
        </is>
      </c>
      <c r="C17" t="inlineStr">
        <is>
          <t>ГТ для МСНИ</t>
        </is>
      </c>
      <c r="D17" t="inlineStr">
        <is>
          <t>ГТ-Э6111.00.00.37-01</t>
        </is>
      </c>
      <c r="E17" t="inlineStr">
        <is>
          <t>Доработка резьбовой державки SEL2525M16</t>
        </is>
      </c>
      <c r="F17" t="inlineStr">
        <is>
          <t>нов</t>
        </is>
      </c>
      <c r="G17" t="n">
        <v>2</v>
      </c>
      <c r="H17" t="inlineStr">
        <is>
          <t>2025.09.10</t>
        </is>
      </c>
      <c r="I17" t="inlineStr">
        <is>
          <t>Талагаев И.В.</t>
        </is>
      </c>
      <c r="J17" t="inlineStr">
        <is>
          <t>ОГТ</t>
        </is>
      </c>
      <c r="K17" t="inlineStr">
        <is>
          <t>новая. Заготовка лежит на ИНС 7789</t>
        </is>
      </c>
    </row>
    <row r="18">
      <c r="A18" s="12" t="inlineStr"/>
      <c r="B18" t="inlineStr">
        <is>
          <t>БАМ</t>
        </is>
      </c>
      <c r="C18" t="inlineStr">
        <is>
          <t>ГТ для ГТ для  МСНИ</t>
        </is>
      </c>
      <c r="D18" t="inlineStr">
        <is>
          <t>ГТ-Э6055.00.36.01</t>
        </is>
      </c>
      <c r="E18" t="inlineStr">
        <is>
          <t>Втулка для доработки державки</t>
        </is>
      </c>
      <c r="F18" t="inlineStr">
        <is>
          <t>нов</t>
        </is>
      </c>
      <c r="G18" t="n">
        <v>1</v>
      </c>
      <c r="H18" t="inlineStr">
        <is>
          <t>2025.09.10</t>
        </is>
      </c>
      <c r="I18" t="inlineStr">
        <is>
          <t>Талагаев И.В.</t>
        </is>
      </c>
      <c r="J18" t="inlineStr">
        <is>
          <t>ОГТ</t>
        </is>
      </c>
    </row>
    <row r="19">
      <c r="A19" s="12" t="inlineStr"/>
      <c r="B19" t="inlineStr">
        <is>
          <t>Письмо БМЗП от 10.09.2025</t>
        </is>
      </c>
      <c r="C19" t="inlineStr">
        <is>
          <t>АЗМ</t>
        </is>
      </c>
      <c r="D19" t="inlineStr">
        <is>
          <t>ГТ-Э6055.55.09.04</t>
        </is>
      </c>
      <c r="E19" t="inlineStr">
        <is>
          <t xml:space="preserve">Проставка </t>
        </is>
      </c>
      <c r="F19" t="inlineStr">
        <is>
          <t>нов</t>
        </is>
      </c>
      <c r="G19" t="n">
        <v>4</v>
      </c>
      <c r="H19" t="inlineStr">
        <is>
          <t>2025.09.10</t>
        </is>
      </c>
      <c r="I19" t="inlineStr">
        <is>
          <t>Смирнов И.А.</t>
        </is>
      </c>
      <c r="J19" t="inlineStr">
        <is>
          <t>ОГТ</t>
        </is>
      </c>
      <c r="K19" t="inlineStr">
        <is>
          <t>новая. Вопросы Эдуарду</t>
        </is>
      </c>
    </row>
    <row r="21">
      <c r="A21" s="9" t="inlineStr">
        <is>
          <t>ТОЦ</t>
        </is>
      </c>
      <c r="B21" s="9" t="inlineStr">
        <is>
          <t>Инф для Нач.бюро</t>
        </is>
      </c>
      <c r="C21" s="9" t="inlineStr">
        <is>
          <t>Изделие</t>
        </is>
      </c>
      <c r="D21" s="9" t="inlineStr">
        <is>
          <t>Токарные ЧПУ</t>
        </is>
      </c>
      <c r="E21" s="9" t="inlineStr">
        <is>
          <t>Наименование</t>
        </is>
      </c>
      <c r="F21" s="9" t="inlineStr">
        <is>
          <t>нов./ кор./ акт.</t>
        </is>
      </c>
      <c r="G21" s="9" t="inlineStr">
        <is>
          <t>УП</t>
        </is>
      </c>
      <c r="H21" s="9" t="inlineStr">
        <is>
          <t>Дата</t>
        </is>
      </c>
      <c r="I21" s="9" t="inlineStr">
        <is>
          <t>Ф. И. О.</t>
        </is>
      </c>
      <c r="J21" s="9" t="inlineStr">
        <is>
          <t>Получение задания</t>
        </is>
      </c>
      <c r="K21" s="9" t="inlineStr">
        <is>
          <t>Комментарий</t>
        </is>
      </c>
    </row>
    <row r="22">
      <c r="A22" s="11" t="inlineStr"/>
      <c r="B22" s="11" t="inlineStr"/>
      <c r="C22" s="11" t="inlineStr"/>
      <c r="D22" s="11" t="n">
        <v>1</v>
      </c>
      <c r="E22" s="11" t="inlineStr"/>
      <c r="F22" s="11" t="inlineStr"/>
      <c r="G22" s="11" t="n">
        <v>1</v>
      </c>
      <c r="H22" s="11" t="inlineStr"/>
      <c r="I22" s="11" t="inlineStr"/>
      <c r="J22" s="11" t="inlineStr"/>
      <c r="K22" s="11" t="inlineStr"/>
    </row>
    <row r="23">
      <c r="A23" s="12" t="inlineStr"/>
      <c r="B23" t="inlineStr">
        <is>
          <t>СЗ от 11.07.2025</t>
        </is>
      </c>
      <c r="C23" t="inlineStr">
        <is>
          <t>ЛТИЯ.464531.001 Изделие Р-325УМВ</t>
        </is>
      </c>
      <c r="D23" t="inlineStr">
        <is>
          <t>ЖЯ7.934.033</t>
        </is>
      </c>
      <c r="E23" t="inlineStr">
        <is>
          <t>Наконечник</t>
        </is>
      </c>
      <c r="F23" t="inlineStr">
        <is>
          <t>кор.</t>
        </is>
      </c>
      <c r="G23" t="n">
        <v>1</v>
      </c>
      <c r="H23" t="inlineStr">
        <is>
          <t>2025.09.09</t>
        </is>
      </c>
      <c r="I23" t="inlineStr">
        <is>
          <t>Мищенко Н.Т.</t>
        </is>
      </c>
      <c r="J23" t="inlineStr">
        <is>
          <t>ОГТ</t>
        </is>
      </c>
      <c r="K23" t="inlineStr">
        <is>
          <t>Переделать УП, убрал 10103</t>
        </is>
      </c>
    </row>
    <row r="24">
      <c r="A24" s="11" t="inlineStr"/>
      <c r="B24" s="11" t="inlineStr"/>
      <c r="C24" s="11" t="inlineStr"/>
      <c r="D24" s="11" t="n">
        <v>1</v>
      </c>
      <c r="E24" s="11" t="inlineStr"/>
      <c r="F24" s="11" t="inlineStr"/>
      <c r="G24" s="11" t="n">
        <v>2</v>
      </c>
      <c r="H24" s="11" t="inlineStr"/>
      <c r="I24" s="11" t="inlineStr"/>
      <c r="J24" s="11" t="inlineStr"/>
      <c r="K24" s="11" t="inlineStr"/>
    </row>
    <row r="25">
      <c r="A25" s="12" t="inlineStr"/>
      <c r="B25" t="inlineStr">
        <is>
          <t>Письмо БПП от 01.09.2025</t>
        </is>
      </c>
      <c r="C25" t="inlineStr">
        <is>
          <t>ГТ для МСНИ</t>
        </is>
      </c>
      <c r="D25" t="inlineStr">
        <is>
          <t>ГТ-Э6111.00.22.01</t>
        </is>
      </c>
      <c r="E25" t="inlineStr">
        <is>
          <t>Штуцер</t>
        </is>
      </c>
      <c r="F25" t="inlineStr">
        <is>
          <t>нов.</t>
        </is>
      </c>
      <c r="G25" t="n">
        <v>2</v>
      </c>
      <c r="H25" t="inlineStr">
        <is>
          <t>2025.09.10</t>
        </is>
      </c>
      <c r="I25" t="inlineStr">
        <is>
          <t>Иващенко В.В.</t>
        </is>
      </c>
      <c r="J25" t="inlineStr">
        <is>
          <t>ОГТ</t>
        </is>
      </c>
      <c r="K25" t="inlineStr">
        <is>
          <t>Круг 25,0 из стали 20. Делаем по чертежу, КД Y:\Служба Главного инженера\ОГТ\Подготовка производства\Бакаидов А.А\Оснастка\МСНИ\ГТ-Э6111.00.16.00 - Державка для 3х пластин</t>
        </is>
      </c>
    </row>
    <row r="27">
      <c r="A27" s="9" t="inlineStr">
        <is>
          <t>ПОЦ</t>
        </is>
      </c>
      <c r="B27" s="9" t="inlineStr">
        <is>
          <t>Инф для Нач.бюро</t>
        </is>
      </c>
      <c r="C27" s="9" t="inlineStr">
        <is>
          <t>Изделие</t>
        </is>
      </c>
      <c r="D27" s="9" t="inlineStr">
        <is>
          <t>Прутковые автоматы</t>
        </is>
      </c>
      <c r="E27" s="9" t="inlineStr">
        <is>
          <t>Наименование</t>
        </is>
      </c>
      <c r="F27" s="9" t="inlineStr">
        <is>
          <t>нов./ кор./ акт.</t>
        </is>
      </c>
      <c r="G27" s="9" t="inlineStr">
        <is>
          <t>УП</t>
        </is>
      </c>
      <c r="H27" s="9" t="inlineStr">
        <is>
          <t>Дата</t>
        </is>
      </c>
      <c r="I27" s="9" t="inlineStr">
        <is>
          <t>Ф. И. О.</t>
        </is>
      </c>
      <c r="J27" s="9" t="inlineStr">
        <is>
          <t>Получение задания</t>
        </is>
      </c>
      <c r="K27" s="9" t="inlineStr">
        <is>
          <t>Комментарий</t>
        </is>
      </c>
    </row>
    <row r="28">
      <c r="A28" s="11" t="inlineStr"/>
      <c r="B28" s="11" t="inlineStr"/>
      <c r="C28" s="11" t="inlineStr"/>
      <c r="D28" s="11" t="n">
        <v>4</v>
      </c>
      <c r="E28" s="11" t="inlineStr"/>
      <c r="F28" s="11" t="inlineStr"/>
      <c r="G28" s="11" t="n">
        <v>4</v>
      </c>
      <c r="H28" s="11" t="inlineStr"/>
      <c r="I28" s="11" t="inlineStr"/>
      <c r="J28" s="11" t="inlineStr"/>
      <c r="K28" s="11" t="inlineStr"/>
    </row>
    <row r="29">
      <c r="A29" s="12" t="inlineStr"/>
      <c r="B29" t="inlineStr">
        <is>
          <t>СЗ от 26.01.2024</t>
        </is>
      </c>
      <c r="C29" t="inlineStr">
        <is>
          <t>ЛТИЯ.464531.001 Изделие Р-325УМВ</t>
        </is>
      </c>
      <c r="D29" t="inlineStr">
        <is>
          <t>ЛТИЯ.713161.029</t>
        </is>
      </c>
      <c r="E29" t="inlineStr">
        <is>
          <t>Втулка</t>
        </is>
      </c>
      <c r="F29" t="inlineStr">
        <is>
          <t>кор</t>
        </is>
      </c>
      <c r="G29" t="n">
        <v>1</v>
      </c>
      <c r="H29" t="inlineStr">
        <is>
          <t>2025.09.10</t>
        </is>
      </c>
      <c r="I29" t="inlineStr">
        <is>
          <t>Мищенко Н.Т.</t>
        </is>
      </c>
      <c r="J29" t="inlineStr">
        <is>
          <t>ОГТ</t>
        </is>
      </c>
      <c r="K29" t="inlineStr">
        <is>
          <t>Актуализация.</t>
        </is>
      </c>
    </row>
    <row r="30">
      <c r="A30" s="12" t="inlineStr"/>
      <c r="B30" t="inlineStr">
        <is>
          <t>СЗ от 24.01.2024</t>
        </is>
      </c>
      <c r="C30" t="inlineStr">
        <is>
          <t>ЛТИЯ.464531.001 Изделие Р-325УМВ</t>
        </is>
      </c>
      <c r="D30" t="inlineStr">
        <is>
          <t>ЛТИЯ.715711.001</t>
        </is>
      </c>
      <c r="E30" t="inlineStr">
        <is>
          <t>Бобышка</t>
        </is>
      </c>
      <c r="F30" t="inlineStr">
        <is>
          <t>кор</t>
        </is>
      </c>
      <c r="G30" t="n">
        <v>1</v>
      </c>
      <c r="H30" t="inlineStr">
        <is>
          <t>2025.09.10</t>
        </is>
      </c>
      <c r="I30" t="inlineStr">
        <is>
          <t>Мищенко Н.Т.</t>
        </is>
      </c>
      <c r="J30" t="inlineStr">
        <is>
          <t>ОГТ</t>
        </is>
      </c>
      <c r="K30" t="inlineStr">
        <is>
          <t>Актуализация.</t>
        </is>
      </c>
    </row>
    <row r="31">
      <c r="A31" s="12" t="inlineStr"/>
      <c r="B31" t="inlineStr">
        <is>
          <t>КНП №2220</t>
        </is>
      </c>
      <c r="D31" t="inlineStr">
        <is>
          <t>12-Э7-3038</t>
        </is>
      </c>
      <c r="E31" t="inlineStr">
        <is>
          <t>Шайба</t>
        </is>
      </c>
      <c r="F31" t="inlineStr">
        <is>
          <t>нов</t>
        </is>
      </c>
      <c r="G31" t="n">
        <v>1</v>
      </c>
      <c r="H31" t="inlineStr">
        <is>
          <t>2025.09.10</t>
        </is>
      </c>
      <c r="I31" t="inlineStr">
        <is>
          <t>Мищенко Н.Т.</t>
        </is>
      </c>
      <c r="J31" t="inlineStr">
        <is>
          <t>ОГТ</t>
        </is>
      </c>
      <c r="K31" t="inlineStr">
        <is>
          <t>новая.</t>
        </is>
      </c>
    </row>
    <row r="32">
      <c r="A32" s="12" t="inlineStr"/>
      <c r="B32" t="inlineStr">
        <is>
          <t>КНП №2256</t>
        </is>
      </c>
      <c r="D32" t="inlineStr">
        <is>
          <t>ЭПРТК.713263.001</t>
        </is>
      </c>
      <c r="E32" t="inlineStr">
        <is>
          <t>Втулка</t>
        </is>
      </c>
      <c r="F32" t="inlineStr">
        <is>
          <t>нов</t>
        </is>
      </c>
      <c r="G32" t="n">
        <v>1</v>
      </c>
      <c r="H32" t="inlineStr">
        <is>
          <t>2025.09.10</t>
        </is>
      </c>
      <c r="I32" t="inlineStr">
        <is>
          <t>Мищенко Н.Т.</t>
        </is>
      </c>
      <c r="J32" t="inlineStr">
        <is>
          <t>ОГТ</t>
        </is>
      </c>
      <c r="K32" t="inlineStr">
        <is>
          <t>новая.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36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26" customWidth="1" min="3" max="3"/>
    <col width="4" customWidth="1" min="4" max="4"/>
    <col width="4" customWidth="1" min="5" max="5"/>
    <col width="7" customWidth="1" min="6" max="6"/>
    <col width="3.7" customWidth="1" min="6" max="6"/>
    <col width="7" customWidth="1" min="7" max="7"/>
    <col width="3.7" customWidth="1" min="7" max="7"/>
    <col width="10" customWidth="1" min="8" max="8"/>
    <col width="10.7" customWidth="1" min="8" max="8"/>
    <col width="3.7" customWidth="1" min="9" max="9"/>
    <col width="10.7" customWidth="1" min="9" max="9"/>
    <col width="3.7" customWidth="1" min="10" max="10"/>
    <col width="3.7" customWidth="1" min="11" max="11"/>
    <col width="3.7" customWidth="1" min="12" max="12"/>
    <col width="3.7" customWidth="1" min="13" max="13"/>
    <col width="3.7" customWidth="1" min="14" max="14"/>
    <col width="3.7" customWidth="1" min="15" max="15"/>
    <col width="3.7" customWidth="1" min="16" max="16"/>
    <col width="3.7" customWidth="1" min="17" max="17"/>
    <col width="3.7" customWidth="1" min="18" max="18"/>
    <col width="3.7" customWidth="1" min="19" max="19"/>
    <col width="3.7" customWidth="1" min="20" max="20"/>
    <col width="3.7" customWidth="1" min="21" max="21"/>
    <col width="3.7" customWidth="1" min="22" max="22"/>
    <col width="3.7" customWidth="1" min="23" max="23"/>
    <col width="3.7" customWidth="1" min="24" max="24"/>
    <col width="3.7" customWidth="1" min="25" max="25"/>
    <col width="3.7" customWidth="1" min="26" max="26"/>
    <col width="3.7" customWidth="1" min="27" max="27"/>
    <col width="3.7" customWidth="1" min="28" max="28"/>
    <col width="3.7" customWidth="1" min="29" max="29"/>
    <col width="3.7" customWidth="1" min="30" max="30"/>
    <col width="3.7" customWidth="1" min="31" max="31"/>
    <col width="3.7" customWidth="1" min="32" max="32"/>
    <col width="3.7" customWidth="1" min="33" max="33"/>
    <col width="3.7" customWidth="1" min="34" max="34"/>
    <col width="3.7" customWidth="1" min="35" max="35"/>
    <col width="3.7" customWidth="1" min="36" max="36"/>
    <col width="3.7" customWidth="1" min="37" max="37"/>
    <col width="3.7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19" customWidth="1" min="60" max="60"/>
  </cols>
  <sheetData>
    <row r="1">
      <c r="A1" t="inlineStr">
        <is>
          <t>2025-09-15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/>
      <c r="B5" t="inlineStr"/>
      <c r="C5" t="inlineStr"/>
      <c r="D5" t="inlineStr"/>
      <c r="E5" t="inlineStr"/>
      <c r="F5" s="7" t="inlineStr"/>
      <c r="G5" s="7" t="inlineStr"/>
      <c r="H5" s="7" t="inlineStr">
        <is>
          <t>August</t>
        </is>
      </c>
      <c r="I5" s="8" t="inlineStr">
        <is>
          <t>September</t>
        </is>
      </c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8" t="inlineStr"/>
      <c r="AE5" s="8" t="inlineStr"/>
      <c r="AF5" s="8" t="inlineStr"/>
      <c r="AG5" s="8" t="inlineStr"/>
      <c r="AH5" s="8" t="inlineStr"/>
      <c r="AI5" s="8" t="inlineStr"/>
      <c r="AJ5" s="8" t="inlineStr"/>
      <c r="AK5" s="8" t="inlineStr"/>
      <c r="AL5" s="8" t="inlineStr"/>
    </row>
    <row r="6">
      <c r="A6" t="inlineStr"/>
      <c r="B6" t="inlineStr"/>
      <c r="C6" t="inlineStr"/>
      <c r="D6" t="inlineStr"/>
      <c r="E6" t="inlineStr"/>
      <c r="F6" s="9" t="n">
        <v>29</v>
      </c>
      <c r="G6" s="9" t="n">
        <v>30</v>
      </c>
      <c r="H6" s="9" t="n">
        <v>31</v>
      </c>
      <c r="I6" s="9" t="n">
        <v>1</v>
      </c>
      <c r="J6" s="9" t="n">
        <v>2</v>
      </c>
      <c r="K6" s="9" t="n">
        <v>3</v>
      </c>
      <c r="L6" s="9" t="n">
        <v>4</v>
      </c>
      <c r="M6" s="9" t="n">
        <v>5</v>
      </c>
      <c r="N6" s="9" t="n">
        <v>6</v>
      </c>
      <c r="O6" s="9" t="n">
        <v>7</v>
      </c>
      <c r="P6" s="9" t="n">
        <v>8</v>
      </c>
      <c r="Q6" s="9" t="n">
        <v>9</v>
      </c>
      <c r="R6" s="9" t="n">
        <v>10</v>
      </c>
      <c r="S6" s="9" t="n">
        <v>11</v>
      </c>
      <c r="T6" s="9" t="n">
        <v>12</v>
      </c>
      <c r="U6" s="9" t="n">
        <v>13</v>
      </c>
      <c r="V6" s="9" t="n">
        <v>14</v>
      </c>
      <c r="W6" s="9" t="n">
        <v>15</v>
      </c>
      <c r="X6" s="9" t="n">
        <v>16</v>
      </c>
      <c r="Y6" s="9" t="n">
        <v>17</v>
      </c>
      <c r="Z6" s="9" t="n">
        <v>18</v>
      </c>
      <c r="AA6" s="9" t="n">
        <v>19</v>
      </c>
      <c r="AB6" s="9" t="n">
        <v>20</v>
      </c>
      <c r="AC6" s="9" t="n">
        <v>21</v>
      </c>
      <c r="AD6" s="9" t="n">
        <v>22</v>
      </c>
      <c r="AE6" s="9" t="n">
        <v>23</v>
      </c>
      <c r="AF6" s="9" t="n">
        <v>24</v>
      </c>
      <c r="AG6" s="9" t="n">
        <v>25</v>
      </c>
      <c r="AH6" s="9" t="n">
        <v>26</v>
      </c>
      <c r="AI6" s="9" t="n">
        <v>27</v>
      </c>
      <c r="AJ6" s="9" t="n">
        <v>28</v>
      </c>
      <c r="AK6" s="9" t="n">
        <v>29</v>
      </c>
      <c r="AL6" s="9" t="n">
        <v>30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s="9" t="inlineStr">
        <is>
          <t>ЖП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  <c r="Z9" s="9" t="inlineStr"/>
      <c r="AA9" s="9" t="inlineStr"/>
      <c r="AB9" s="9" t="inlineStr"/>
      <c r="AC9" s="9" t="inlineStr"/>
      <c r="AD9" s="9" t="inlineStr"/>
      <c r="AE9" s="9" t="inlineStr"/>
      <c r="AF9" s="9" t="inlineStr"/>
      <c r="AG9" s="9" t="inlineStr"/>
      <c r="AH9" s="9" t="inlineStr"/>
      <c r="AI9" s="9" t="inlineStr"/>
      <c r="AJ9" s="9" t="inlineStr"/>
      <c r="AK9" s="9" t="inlineStr"/>
      <c r="AL9" s="9" t="inlineStr"/>
    </row>
    <row r="10">
      <c r="A10" t="inlineStr"/>
      <c r="B10" t="inlineStr"/>
      <c r="C10" s="8" t="inlineStr">
        <is>
          <t>Всего ЖП</t>
        </is>
      </c>
      <c r="D10" t="inlineStr"/>
      <c r="E10" t="inlineStr"/>
      <c r="F10" t="inlineStr"/>
      <c r="G10" t="inlineStr"/>
      <c r="H10" t="inlineStr"/>
      <c r="I10" t="n">
        <v>89</v>
      </c>
      <c r="J10" t="n">
        <v>5</v>
      </c>
      <c r="K10" t="n">
        <v>7</v>
      </c>
      <c r="L10" t="n">
        <v>13</v>
      </c>
      <c r="M10" t="n">
        <v>34</v>
      </c>
      <c r="N10" t="n">
        <v>9</v>
      </c>
      <c r="O10" t="n">
        <v>5</v>
      </c>
      <c r="P10" t="n">
        <v>34</v>
      </c>
      <c r="Q10" t="n">
        <v>8</v>
      </c>
      <c r="R10" t="n">
        <v>87</v>
      </c>
      <c r="S10" t="n">
        <v>9</v>
      </c>
      <c r="T10" t="n">
        <v>13</v>
      </c>
      <c r="U10" t="inlineStr"/>
      <c r="V10" t="inlineStr"/>
      <c r="W10" t="n">
        <v>13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/>
      <c r="B11" t="inlineStr"/>
      <c r="C11" s="8" t="inlineStr">
        <is>
          <t>Выполнено ЖП</t>
        </is>
      </c>
      <c r="D11" t="inlineStr"/>
      <c r="E11" t="inlineStr"/>
      <c r="F11" t="inlineStr"/>
      <c r="G11" t="inlineStr"/>
      <c r="H11" t="inlineStr"/>
      <c r="I11" t="n">
        <v>1</v>
      </c>
      <c r="J11" t="n">
        <v>0</v>
      </c>
      <c r="K11" t="n">
        <v>456</v>
      </c>
      <c r="L11" t="n">
        <v>456</v>
      </c>
      <c r="M11" t="n">
        <v>8</v>
      </c>
      <c r="N11" t="n">
        <v>6</v>
      </c>
      <c r="O11" t="n">
        <v>7</v>
      </c>
      <c r="P11" t="n">
        <v>876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>
        <f>I10</f>
        <v/>
      </c>
      <c r="J12">
        <f>J10+I12</f>
        <v/>
      </c>
      <c r="K12">
        <f>K10+J12</f>
        <v/>
      </c>
      <c r="L12">
        <f>L10+K12</f>
        <v/>
      </c>
      <c r="M12">
        <f>M10+L12</f>
        <v/>
      </c>
      <c r="N12">
        <f>N10+M12</f>
        <v/>
      </c>
      <c r="O12">
        <f>O10+N12</f>
        <v/>
      </c>
      <c r="P12">
        <f>P10+O12</f>
        <v/>
      </c>
      <c r="Q12">
        <f>Q10+P12</f>
        <v/>
      </c>
      <c r="R12">
        <f>R10+Q12</f>
        <v/>
      </c>
      <c r="S12">
        <f>S10+R12</f>
        <v/>
      </c>
      <c r="T12">
        <f>T10+S12</f>
        <v/>
      </c>
      <c r="U12">
        <f>U10+T12</f>
        <v/>
      </c>
      <c r="V12">
        <f>V10+U12</f>
        <v/>
      </c>
      <c r="W12">
        <f>W10+V12</f>
        <v/>
      </c>
      <c r="X12">
        <f>X10+W12</f>
        <v/>
      </c>
      <c r="Y12">
        <f>Y10+X12</f>
        <v/>
      </c>
      <c r="Z12">
        <f>Z10+Y12</f>
        <v/>
      </c>
      <c r="AA12">
        <f>AA10+Z12</f>
        <v/>
      </c>
      <c r="AB12">
        <f>AB10+AA12</f>
        <v/>
      </c>
      <c r="AC12">
        <f>AC10+AB12</f>
        <v/>
      </c>
      <c r="AD12">
        <f>AD10+AC12</f>
        <v/>
      </c>
      <c r="AE12">
        <f>AE10+AD12</f>
        <v/>
      </c>
      <c r="AF12">
        <f>AF10+AE12</f>
        <v/>
      </c>
      <c r="AG12">
        <f>AG10+AF12</f>
        <v/>
      </c>
      <c r="AH12">
        <f>AH10+AG12</f>
        <v/>
      </c>
      <c r="AI12">
        <f>AI10+AH12</f>
        <v/>
      </c>
      <c r="AJ12">
        <f>AJ10+AI12</f>
        <v/>
      </c>
      <c r="AK12">
        <f>AK10+AJ12</f>
        <v/>
      </c>
      <c r="AL12">
        <f>AL10+AK12</f>
        <v/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>
        <f>I11</f>
        <v/>
      </c>
      <c r="J13">
        <f>J11+I13</f>
        <v/>
      </c>
      <c r="K13">
        <f>K11+J13</f>
        <v/>
      </c>
      <c r="L13">
        <f>L11+K13</f>
        <v/>
      </c>
      <c r="M13">
        <f>M11+L13</f>
        <v/>
      </c>
      <c r="N13">
        <f>N11+M13</f>
        <v/>
      </c>
      <c r="O13">
        <f>O11+N13</f>
        <v/>
      </c>
      <c r="P13">
        <f>P11+O13</f>
        <v/>
      </c>
      <c r="Q13">
        <f>Q11+P13</f>
        <v/>
      </c>
      <c r="R13">
        <f>R11+Q13</f>
        <v/>
      </c>
      <c r="S13">
        <f>S11+R13</f>
        <v/>
      </c>
      <c r="T13">
        <f>T11+S13</f>
        <v/>
      </c>
      <c r="U13">
        <f>U11+T13</f>
        <v/>
      </c>
      <c r="V13">
        <f>V11+U13</f>
        <v/>
      </c>
      <c r="W13">
        <f>W11+V13</f>
        <v/>
      </c>
      <c r="X13">
        <f>X11+W13</f>
        <v/>
      </c>
      <c r="Y13">
        <f>Y11+X13</f>
        <v/>
      </c>
      <c r="Z13">
        <f>Z11+Y13</f>
        <v/>
      </c>
      <c r="AA13">
        <f>AA11+Z13</f>
        <v/>
      </c>
      <c r="AB13">
        <f>AB11+AA13</f>
        <v/>
      </c>
      <c r="AC13">
        <f>AC11+AB13</f>
        <v/>
      </c>
      <c r="AD13">
        <f>AD11+AC13</f>
        <v/>
      </c>
      <c r="AE13">
        <f>AE11+AD13</f>
        <v/>
      </c>
      <c r="AF13">
        <f>AF11+AE13</f>
        <v/>
      </c>
      <c r="AG13">
        <f>AG11+AF13</f>
        <v/>
      </c>
      <c r="AH13">
        <f>AH11+AG13</f>
        <v/>
      </c>
      <c r="AI13">
        <f>AI11+AH13</f>
        <v/>
      </c>
      <c r="AJ13">
        <f>AJ11+AI13</f>
        <v/>
      </c>
      <c r="AK13">
        <f>AK11+AJ13</f>
        <v/>
      </c>
      <c r="AL13">
        <f>AL11+AK13</f>
        <v/>
      </c>
    </row>
    <row r="14">
      <c r="A14" s="9" t="inlineStr">
        <is>
          <t>ФОЦ</t>
        </is>
      </c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9" t="inlineStr"/>
      <c r="AE14" s="9" t="inlineStr"/>
      <c r="AF14" s="9" t="inlineStr"/>
      <c r="AG14" s="9" t="inlineStr"/>
      <c r="AH14" s="9" t="inlineStr"/>
      <c r="AI14" s="9" t="inlineStr"/>
      <c r="AJ14" s="9" t="inlineStr"/>
      <c r="AK14" s="9" t="inlineStr"/>
      <c r="AL14" s="9" t="inlineStr"/>
    </row>
    <row r="15">
      <c r="A15" t="inlineStr"/>
      <c r="B15" t="inlineStr"/>
      <c r="C15" s="8" t="inlineStr">
        <is>
          <t>Выполнено за день, ДСЕ</t>
        </is>
      </c>
      <c r="D15" t="inlineStr"/>
      <c r="E15" t="inlineStr"/>
      <c r="F15" t="n">
        <v>5</v>
      </c>
      <c r="G15" t="n">
        <v>4</v>
      </c>
      <c r="H15" t="n">
        <v>4</v>
      </c>
      <c r="I15" t="n">
        <v>5</v>
      </c>
      <c r="J15" t="n">
        <v>9</v>
      </c>
      <c r="K15" t="inlineStr"/>
      <c r="L15" t="inlineStr"/>
      <c r="M15" t="inlineStr"/>
      <c r="N15" t="n">
        <v>5</v>
      </c>
      <c r="O15" t="n">
        <v>4</v>
      </c>
      <c r="P15" t="n">
        <v>4</v>
      </c>
      <c r="Q15" t="n">
        <v>5</v>
      </c>
      <c r="R15" t="n">
        <v>9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/>
      <c r="B16" t="inlineStr"/>
      <c r="C16" s="8" t="inlineStr">
        <is>
          <t>Выполнено за день, УП</t>
        </is>
      </c>
      <c r="D16" t="inlineStr"/>
      <c r="E16" t="inlineStr"/>
      <c r="F16" t="n">
        <v>6</v>
      </c>
      <c r="G16" t="n">
        <v>4</v>
      </c>
      <c r="H16" t="n">
        <v>20</v>
      </c>
      <c r="I16" t="n">
        <v>10</v>
      </c>
      <c r="J16" t="n">
        <v>20</v>
      </c>
      <c r="K16" t="inlineStr"/>
      <c r="L16" t="inlineStr"/>
      <c r="M16" t="inlineStr"/>
      <c r="N16" t="n">
        <v>6</v>
      </c>
      <c r="O16" t="n">
        <v>4</v>
      </c>
      <c r="P16" t="n">
        <v>20</v>
      </c>
      <c r="Q16" t="n">
        <v>10</v>
      </c>
      <c r="R16" t="n">
        <v>20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>
        <f>I15</f>
        <v/>
      </c>
      <c r="J17">
        <f>J15+I17</f>
        <v/>
      </c>
      <c r="K17">
        <f>K15+J17</f>
        <v/>
      </c>
      <c r="L17">
        <f>L15+K17</f>
        <v/>
      </c>
      <c r="M17">
        <f>M15+L17</f>
        <v/>
      </c>
      <c r="N17">
        <f>N15+M17</f>
        <v/>
      </c>
      <c r="O17">
        <f>O15+N17</f>
        <v/>
      </c>
      <c r="P17">
        <f>P15+O17</f>
        <v/>
      </c>
      <c r="Q17">
        <f>Q15+P17</f>
        <v/>
      </c>
      <c r="R17">
        <f>R15+Q17</f>
        <v/>
      </c>
      <c r="S17">
        <f>S15+R17</f>
        <v/>
      </c>
      <c r="T17">
        <f>T15+S17</f>
        <v/>
      </c>
      <c r="U17">
        <f>U15+T17</f>
        <v/>
      </c>
      <c r="V17">
        <f>V15+U17</f>
        <v/>
      </c>
      <c r="W17">
        <f>W15+V17</f>
        <v/>
      </c>
      <c r="X17">
        <f>X15+W17</f>
        <v/>
      </c>
      <c r="Y17">
        <f>Y15+X17</f>
        <v/>
      </c>
      <c r="Z17">
        <f>Z15+Y17</f>
        <v/>
      </c>
      <c r="AA17">
        <f>AA15+Z17</f>
        <v/>
      </c>
      <c r="AB17">
        <f>AB15+AA17</f>
        <v/>
      </c>
      <c r="AC17">
        <f>AC15+AB17</f>
        <v/>
      </c>
      <c r="AD17">
        <f>AD15+AC17</f>
        <v/>
      </c>
      <c r="AE17">
        <f>AE15+AD17</f>
        <v/>
      </c>
      <c r="AF17">
        <f>AF15+AE17</f>
        <v/>
      </c>
      <c r="AG17">
        <f>AG15+AF17</f>
        <v/>
      </c>
      <c r="AH17">
        <f>AH15+AG17</f>
        <v/>
      </c>
      <c r="AI17">
        <f>AI15+AH17</f>
        <v/>
      </c>
      <c r="AJ17">
        <f>AJ15+AI17</f>
        <v/>
      </c>
      <c r="AK17">
        <f>AK15+AJ17</f>
        <v/>
      </c>
      <c r="AL17">
        <f>AL15+AK17</f>
        <v/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>
        <f>I16</f>
        <v/>
      </c>
      <c r="J18">
        <f>J16+I18</f>
        <v/>
      </c>
      <c r="K18">
        <f>K16+J18</f>
        <v/>
      </c>
      <c r="L18">
        <f>L16+K18</f>
        <v/>
      </c>
      <c r="M18">
        <f>M16+L18</f>
        <v/>
      </c>
      <c r="N18">
        <f>N16+M18</f>
        <v/>
      </c>
      <c r="O18">
        <f>O16+N18</f>
        <v/>
      </c>
      <c r="P18">
        <f>P16+O18</f>
        <v/>
      </c>
      <c r="Q18">
        <f>Q16+P18</f>
        <v/>
      </c>
      <c r="R18">
        <f>R16+Q18</f>
        <v/>
      </c>
      <c r="S18">
        <f>S16+R18</f>
        <v/>
      </c>
      <c r="T18">
        <f>T16+S18</f>
        <v/>
      </c>
      <c r="U18">
        <f>U16+T18</f>
        <v/>
      </c>
      <c r="V18">
        <f>V16+U18</f>
        <v/>
      </c>
      <c r="W18">
        <f>W16+V18</f>
        <v/>
      </c>
      <c r="X18">
        <f>X16+W18</f>
        <v/>
      </c>
      <c r="Y18">
        <f>Y16+X18</f>
        <v/>
      </c>
      <c r="Z18">
        <f>Z16+Y18</f>
        <v/>
      </c>
      <c r="AA18">
        <f>AA16+Z18</f>
        <v/>
      </c>
      <c r="AB18">
        <f>AB16+AA18</f>
        <v/>
      </c>
      <c r="AC18">
        <f>AC16+AB18</f>
        <v/>
      </c>
      <c r="AD18">
        <f>AD16+AC18</f>
        <v/>
      </c>
      <c r="AE18">
        <f>AE16+AD18</f>
        <v/>
      </c>
      <c r="AF18">
        <f>AF16+AE18</f>
        <v/>
      </c>
      <c r="AG18">
        <f>AG16+AF18</f>
        <v/>
      </c>
      <c r="AH18">
        <f>AH16+AG18</f>
        <v/>
      </c>
      <c r="AI18">
        <f>AI16+AH18</f>
        <v/>
      </c>
      <c r="AJ18">
        <f>AJ16+AI18</f>
        <v/>
      </c>
      <c r="AK18">
        <f>AK16+AJ18</f>
        <v/>
      </c>
      <c r="AL18">
        <f>AL16+AK18</f>
        <v/>
      </c>
    </row>
    <row r="19">
      <c r="A19" s="9" t="inlineStr">
        <is>
          <t>ТОЦ</t>
        </is>
      </c>
      <c r="B19" s="9" t="inlineStr"/>
      <c r="C19" s="9" t="inlineStr"/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  <c r="P19" s="9" t="inlineStr"/>
      <c r="Q19" s="9" t="inlineStr"/>
      <c r="R19" s="9" t="inlineStr"/>
      <c r="S19" s="9" t="inlineStr"/>
      <c r="T19" s="9" t="inlineStr"/>
      <c r="U19" s="9" t="inlineStr"/>
      <c r="V19" s="9" t="inlineStr"/>
      <c r="W19" s="9" t="inlineStr"/>
      <c r="X19" s="9" t="inlineStr"/>
      <c r="Y19" s="9" t="inlineStr"/>
      <c r="Z19" s="9" t="inlineStr"/>
      <c r="AA19" s="9" t="inlineStr"/>
      <c r="AB19" s="9" t="inlineStr"/>
      <c r="AC19" s="9" t="inlineStr"/>
      <c r="AD19" s="9" t="inlineStr"/>
      <c r="AE19" s="9" t="inlineStr"/>
      <c r="AF19" s="9" t="inlineStr"/>
      <c r="AG19" s="9" t="inlineStr"/>
      <c r="AH19" s="9" t="inlineStr"/>
      <c r="AI19" s="9" t="inlineStr"/>
      <c r="AJ19" s="9" t="inlineStr"/>
      <c r="AK19" s="9" t="inlineStr"/>
      <c r="AL19" s="9" t="inlineStr"/>
    </row>
    <row r="20">
      <c r="A20" t="inlineStr"/>
      <c r="B20" t="inlineStr"/>
      <c r="C20" s="8" t="inlineStr">
        <is>
          <t>Выполнено за день, ДСЕ</t>
        </is>
      </c>
      <c r="D20" t="inlineStr"/>
      <c r="E20" t="inlineStr"/>
      <c r="F20" t="inlineStr"/>
      <c r="G20" t="inlineStr"/>
      <c r="H20" t="n">
        <v>4</v>
      </c>
      <c r="I20" t="n">
        <v>1</v>
      </c>
      <c r="J20" t="n">
        <v>1</v>
      </c>
      <c r="K20" t="inlineStr"/>
      <c r="L20" t="inlineStr"/>
      <c r="M20" t="inlineStr"/>
      <c r="N20" t="inlineStr"/>
      <c r="O20" t="inlineStr"/>
      <c r="P20" t="n">
        <v>4</v>
      </c>
      <c r="Q20" t="n">
        <v>1</v>
      </c>
      <c r="R20" t="n">
        <v>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/>
      <c r="B21" t="inlineStr"/>
      <c r="C21" s="8" t="inlineStr">
        <is>
          <t>Выполнено за день, УП</t>
        </is>
      </c>
      <c r="D21" t="inlineStr"/>
      <c r="E21" t="inlineStr"/>
      <c r="F21" t="inlineStr"/>
      <c r="G21" t="inlineStr"/>
      <c r="H21" t="n">
        <v>5</v>
      </c>
      <c r="I21" t="n">
        <v>1</v>
      </c>
      <c r="J21" t="n">
        <v>2</v>
      </c>
      <c r="K21" t="inlineStr"/>
      <c r="L21" t="inlineStr"/>
      <c r="M21" t="inlineStr"/>
      <c r="N21" t="inlineStr"/>
      <c r="O21" t="inlineStr"/>
      <c r="P21" t="n">
        <v>5</v>
      </c>
      <c r="Q21" t="n">
        <v>1</v>
      </c>
      <c r="R21" t="n">
        <v>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>
        <f>I20</f>
        <v/>
      </c>
      <c r="J22">
        <f>J20+I22</f>
        <v/>
      </c>
      <c r="K22">
        <f>K20+J22</f>
        <v/>
      </c>
      <c r="L22">
        <f>L20+K22</f>
        <v/>
      </c>
      <c r="M22">
        <f>M20+L22</f>
        <v/>
      </c>
      <c r="N22">
        <f>N20+M22</f>
        <v/>
      </c>
      <c r="O22">
        <f>O20+N22</f>
        <v/>
      </c>
      <c r="P22">
        <f>P20+O22</f>
        <v/>
      </c>
      <c r="Q22">
        <f>Q20+P22</f>
        <v/>
      </c>
      <c r="R22">
        <f>R20+Q22</f>
        <v/>
      </c>
      <c r="S22">
        <f>S20+R22</f>
        <v/>
      </c>
      <c r="T22">
        <f>T20+S22</f>
        <v/>
      </c>
      <c r="U22">
        <f>U20+T22</f>
        <v/>
      </c>
      <c r="V22">
        <f>V20+U22</f>
        <v/>
      </c>
      <c r="W22">
        <f>W20+V22</f>
        <v/>
      </c>
      <c r="X22">
        <f>X20+W22</f>
        <v/>
      </c>
      <c r="Y22">
        <f>Y20+X22</f>
        <v/>
      </c>
      <c r="Z22">
        <f>Z20+Y22</f>
        <v/>
      </c>
      <c r="AA22">
        <f>AA20+Z22</f>
        <v/>
      </c>
      <c r="AB22">
        <f>AB20+AA22</f>
        <v/>
      </c>
      <c r="AC22">
        <f>AC20+AB22</f>
        <v/>
      </c>
      <c r="AD22">
        <f>AD20+AC22</f>
        <v/>
      </c>
      <c r="AE22">
        <f>AE20+AD22</f>
        <v/>
      </c>
      <c r="AF22">
        <f>AF20+AE22</f>
        <v/>
      </c>
      <c r="AG22">
        <f>AG20+AF22</f>
        <v/>
      </c>
      <c r="AH22">
        <f>AH20+AG22</f>
        <v/>
      </c>
      <c r="AI22">
        <f>AI20+AH22</f>
        <v/>
      </c>
      <c r="AJ22">
        <f>AJ20+AI22</f>
        <v/>
      </c>
      <c r="AK22">
        <f>AK20+AJ22</f>
        <v/>
      </c>
      <c r="AL22">
        <f>AL20+AK22</f>
        <v/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>
        <f>I21</f>
        <v/>
      </c>
      <c r="J23">
        <f>J21+I23</f>
        <v/>
      </c>
      <c r="K23">
        <f>K21+J23</f>
        <v/>
      </c>
      <c r="L23">
        <f>L21+K23</f>
        <v/>
      </c>
      <c r="M23">
        <f>M21+L23</f>
        <v/>
      </c>
      <c r="N23">
        <f>N21+M23</f>
        <v/>
      </c>
      <c r="O23">
        <f>O21+N23</f>
        <v/>
      </c>
      <c r="P23">
        <f>P21+O23</f>
        <v/>
      </c>
      <c r="Q23">
        <f>Q21+P23</f>
        <v/>
      </c>
      <c r="R23">
        <f>R21+Q23</f>
        <v/>
      </c>
      <c r="S23">
        <f>S21+R23</f>
        <v/>
      </c>
      <c r="T23">
        <f>T21+S23</f>
        <v/>
      </c>
      <c r="U23">
        <f>U21+T23</f>
        <v/>
      </c>
      <c r="V23">
        <f>V21+U23</f>
        <v/>
      </c>
      <c r="W23">
        <f>W21+V23</f>
        <v/>
      </c>
      <c r="X23">
        <f>X21+W23</f>
        <v/>
      </c>
      <c r="Y23">
        <f>Y21+X23</f>
        <v/>
      </c>
      <c r="Z23">
        <f>Z21+Y23</f>
        <v/>
      </c>
      <c r="AA23">
        <f>AA21+Z23</f>
        <v/>
      </c>
      <c r="AB23">
        <f>AB21+AA23</f>
        <v/>
      </c>
      <c r="AC23">
        <f>AC21+AB23</f>
        <v/>
      </c>
      <c r="AD23">
        <f>AD21+AC23</f>
        <v/>
      </c>
      <c r="AE23">
        <f>AE21+AD23</f>
        <v/>
      </c>
      <c r="AF23">
        <f>AF21+AE23</f>
        <v/>
      </c>
      <c r="AG23">
        <f>AG21+AF23</f>
        <v/>
      </c>
      <c r="AH23">
        <f>AH21+AG23</f>
        <v/>
      </c>
      <c r="AI23">
        <f>AI21+AH23</f>
        <v/>
      </c>
      <c r="AJ23">
        <f>AJ21+AI23</f>
        <v/>
      </c>
      <c r="AK23">
        <f>AK21+AJ23</f>
        <v/>
      </c>
      <c r="AL23">
        <f>AL21+AK23</f>
        <v/>
      </c>
    </row>
    <row r="24">
      <c r="A24" s="9" t="inlineStr">
        <is>
          <t>ПОЦ</t>
        </is>
      </c>
      <c r="B24" s="9" t="inlineStr"/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  <c r="P24" s="9" t="inlineStr"/>
      <c r="Q24" s="9" t="inlineStr"/>
      <c r="R24" s="9" t="inlineStr"/>
      <c r="S24" s="9" t="inlineStr"/>
      <c r="T24" s="9" t="inlineStr"/>
      <c r="U24" s="9" t="inlineStr"/>
      <c r="V24" s="9" t="inlineStr"/>
      <c r="W24" s="9" t="inlineStr"/>
      <c r="X24" s="9" t="inlineStr"/>
      <c r="Y24" s="9" t="inlineStr"/>
      <c r="Z24" s="9" t="inlineStr"/>
      <c r="AA24" s="9" t="inlineStr"/>
      <c r="AB24" s="9" t="inlineStr"/>
      <c r="AC24" s="9" t="inlineStr"/>
      <c r="AD24" s="9" t="inlineStr"/>
      <c r="AE24" s="9" t="inlineStr"/>
      <c r="AF24" s="9" t="inlineStr"/>
      <c r="AG24" s="9" t="inlineStr"/>
      <c r="AH24" s="9" t="inlineStr"/>
      <c r="AI24" s="9" t="inlineStr"/>
      <c r="AJ24" s="9" t="inlineStr"/>
      <c r="AK24" s="9" t="inlineStr"/>
      <c r="AL24" s="9" t="inlineStr"/>
    </row>
    <row r="25">
      <c r="A25" t="inlineStr"/>
      <c r="B25" t="inlineStr"/>
      <c r="C25" s="8" t="inlineStr">
        <is>
          <t>Выполнено за день, ДСЕ</t>
        </is>
      </c>
      <c r="D25" t="inlineStr"/>
      <c r="E25" t="inlineStr"/>
      <c r="F25" t="n">
        <v>3</v>
      </c>
      <c r="G25" t="n">
        <v>1</v>
      </c>
      <c r="H25" t="inlineStr"/>
      <c r="I25" t="inlineStr"/>
      <c r="J25" t="n">
        <v>4</v>
      </c>
      <c r="K25" t="inlineStr"/>
      <c r="L25" t="inlineStr"/>
      <c r="M25" t="inlineStr"/>
      <c r="N25" t="n">
        <v>3</v>
      </c>
      <c r="O25" t="n">
        <v>1</v>
      </c>
      <c r="P25" t="inlineStr"/>
      <c r="Q25" t="inlineStr"/>
      <c r="R25" t="n">
        <v>4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/>
      <c r="B26" t="inlineStr"/>
      <c r="C26" s="8" t="inlineStr">
        <is>
          <t>Выполнено за день, УП</t>
        </is>
      </c>
      <c r="D26" t="inlineStr"/>
      <c r="E26" t="inlineStr"/>
      <c r="F26" t="n">
        <v>3</v>
      </c>
      <c r="G26" t="n">
        <v>1</v>
      </c>
      <c r="H26" t="inlineStr"/>
      <c r="I26" t="inlineStr"/>
      <c r="J26" t="n">
        <v>4</v>
      </c>
      <c r="K26" t="inlineStr"/>
      <c r="L26" t="inlineStr"/>
      <c r="M26" t="inlineStr"/>
      <c r="N26" t="n">
        <v>3</v>
      </c>
      <c r="O26" t="n">
        <v>1</v>
      </c>
      <c r="P26" t="inlineStr"/>
      <c r="Q26" t="inlineStr"/>
      <c r="R26" t="n">
        <v>4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>
        <f>I25</f>
        <v/>
      </c>
      <c r="J27">
        <f>J25+I27</f>
        <v/>
      </c>
      <c r="K27">
        <f>K25+J27</f>
        <v/>
      </c>
      <c r="L27">
        <f>L25+K27</f>
        <v/>
      </c>
      <c r="M27">
        <f>M25+L27</f>
        <v/>
      </c>
      <c r="N27">
        <f>N25+M27</f>
        <v/>
      </c>
      <c r="O27">
        <f>O25+N27</f>
        <v/>
      </c>
      <c r="P27">
        <f>P25+O27</f>
        <v/>
      </c>
      <c r="Q27">
        <f>Q25+P27</f>
        <v/>
      </c>
      <c r="R27">
        <f>R25+Q27</f>
        <v/>
      </c>
      <c r="S27">
        <f>S25+R27</f>
        <v/>
      </c>
      <c r="T27">
        <f>T25+S27</f>
        <v/>
      </c>
      <c r="U27">
        <f>U25+T27</f>
        <v/>
      </c>
      <c r="V27">
        <f>V25+U27</f>
        <v/>
      </c>
      <c r="W27">
        <f>W25+V27</f>
        <v/>
      </c>
      <c r="X27">
        <f>X25+W27</f>
        <v/>
      </c>
      <c r="Y27">
        <f>Y25+X27</f>
        <v/>
      </c>
      <c r="Z27">
        <f>Z25+Y27</f>
        <v/>
      </c>
      <c r="AA27">
        <f>AA25+Z27</f>
        <v/>
      </c>
      <c r="AB27">
        <f>AB25+AA27</f>
        <v/>
      </c>
      <c r="AC27">
        <f>AC25+AB27</f>
        <v/>
      </c>
      <c r="AD27">
        <f>AD25+AC27</f>
        <v/>
      </c>
      <c r="AE27">
        <f>AE25+AD27</f>
        <v/>
      </c>
      <c r="AF27">
        <f>AF25+AE27</f>
        <v/>
      </c>
      <c r="AG27">
        <f>AG25+AF27</f>
        <v/>
      </c>
      <c r="AH27">
        <f>AH25+AG27</f>
        <v/>
      </c>
      <c r="AI27">
        <f>AI25+AH27</f>
        <v/>
      </c>
      <c r="AJ27">
        <f>AJ25+AI27</f>
        <v/>
      </c>
      <c r="AK27">
        <f>AK25+AJ27</f>
        <v/>
      </c>
      <c r="AL27">
        <f>AL25+AK27</f>
        <v/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>
        <f>I26</f>
        <v/>
      </c>
      <c r="J28">
        <f>J26+I28</f>
        <v/>
      </c>
      <c r="K28">
        <f>K26+J28</f>
        <v/>
      </c>
      <c r="L28">
        <f>L26+K28</f>
        <v/>
      </c>
      <c r="M28">
        <f>M26+L28</f>
        <v/>
      </c>
      <c r="N28">
        <f>N26+M28</f>
        <v/>
      </c>
      <c r="O28">
        <f>O26+N28</f>
        <v/>
      </c>
      <c r="P28">
        <f>P26+O28</f>
        <v/>
      </c>
      <c r="Q28">
        <f>Q26+P28</f>
        <v/>
      </c>
      <c r="R28">
        <f>R26+Q28</f>
        <v/>
      </c>
      <c r="S28">
        <f>S26+R28</f>
        <v/>
      </c>
      <c r="T28">
        <f>T26+S28</f>
        <v/>
      </c>
      <c r="U28">
        <f>U26+T28</f>
        <v/>
      </c>
      <c r="V28">
        <f>V26+U28</f>
        <v/>
      </c>
      <c r="W28">
        <f>W26+V28</f>
        <v/>
      </c>
      <c r="X28">
        <f>X26+W28</f>
        <v/>
      </c>
      <c r="Y28">
        <f>Y26+X28</f>
        <v/>
      </c>
      <c r="Z28">
        <f>Z26+Y28</f>
        <v/>
      </c>
      <c r="AA28">
        <f>AA26+Z28</f>
        <v/>
      </c>
      <c r="AB28">
        <f>AB26+AA28</f>
        <v/>
      </c>
      <c r="AC28">
        <f>AC26+AB28</f>
        <v/>
      </c>
      <c r="AD28">
        <f>AD26+AC28</f>
        <v/>
      </c>
      <c r="AE28">
        <f>AE26+AD28</f>
        <v/>
      </c>
      <c r="AF28">
        <f>AF26+AE28</f>
        <v/>
      </c>
      <c r="AG28">
        <f>AG26+AF28</f>
        <v/>
      </c>
      <c r="AH28">
        <f>AH26+AG28</f>
        <v/>
      </c>
      <c r="AI28">
        <f>AI26+AH28</f>
        <v/>
      </c>
      <c r="AJ28">
        <f>AJ26+AI28</f>
        <v/>
      </c>
      <c r="AK28">
        <f>AK26+AJ28</f>
        <v/>
      </c>
      <c r="AL28">
        <f>AL26+AK28</f>
        <v/>
      </c>
    </row>
    <row r="29">
      <c r="A29" s="9" t="inlineStr">
        <is>
          <t>СЗ</t>
        </is>
      </c>
      <c r="B29" s="9" t="inlineStr"/>
      <c r="C29" s="9" t="inlineStr"/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  <c r="P29" s="9" t="inlineStr"/>
      <c r="Q29" s="9" t="inlineStr"/>
      <c r="R29" s="9" t="inlineStr"/>
      <c r="S29" s="9" t="inlineStr"/>
      <c r="T29" s="9" t="inlineStr"/>
      <c r="U29" s="9" t="inlineStr"/>
      <c r="V29" s="9" t="inlineStr"/>
      <c r="W29" s="9" t="inlineStr"/>
      <c r="X29" s="9" t="inlineStr"/>
      <c r="Y29" s="9" t="inlineStr"/>
      <c r="Z29" s="9" t="inlineStr"/>
      <c r="AA29" s="9" t="inlineStr"/>
      <c r="AB29" s="9" t="inlineStr"/>
      <c r="AC29" s="9" t="inlineStr"/>
      <c r="AD29" s="9" t="inlineStr"/>
      <c r="AE29" s="9" t="inlineStr"/>
      <c r="AF29" s="9" t="inlineStr"/>
      <c r="AG29" s="9" t="inlineStr"/>
      <c r="AH29" s="9" t="inlineStr"/>
      <c r="AI29" s="9" t="inlineStr"/>
      <c r="AJ29" s="9" t="inlineStr"/>
      <c r="AK29" s="9" t="inlineStr"/>
      <c r="AL29" s="9" t="inlineStr"/>
    </row>
    <row r="30">
      <c r="A30" t="inlineStr"/>
      <c r="B30" t="inlineStr"/>
      <c r="C30" s="8" t="inlineStr">
        <is>
          <t>Итого</t>
        </is>
      </c>
      <c r="D30" t="inlineStr"/>
      <c r="E30" t="inlineStr"/>
      <c r="F30" t="inlineStr"/>
      <c r="G30" t="inlineStr"/>
      <c r="H30" t="inlineStr"/>
      <c r="I30" t="inlineStr"/>
      <c r="J30" t="n">
        <v>537</v>
      </c>
      <c r="K30" t="inlineStr"/>
      <c r="L30" t="inlineStr"/>
      <c r="M30" t="inlineStr"/>
      <c r="N30" t="inlineStr"/>
      <c r="O30" t="inlineStr"/>
      <c r="P30" t="inlineStr"/>
      <c r="Q30" t="inlineStr"/>
      <c r="R30" t="n">
        <v>537</v>
      </c>
    </row>
    <row r="31">
      <c r="A31" t="inlineStr"/>
      <c r="B31" t="inlineStr"/>
      <c r="C31" s="8" t="inlineStr">
        <is>
          <t>ФОЦ</t>
        </is>
      </c>
      <c r="D31" t="inlineStr"/>
      <c r="E31" t="inlineStr"/>
      <c r="F31" t="inlineStr"/>
      <c r="G31" t="inlineStr"/>
      <c r="H31" t="inlineStr"/>
      <c r="I31" t="inlineStr"/>
      <c r="J31" t="n">
        <v>181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181</v>
      </c>
    </row>
    <row r="32">
      <c r="A32" t="inlineStr"/>
      <c r="B32" t="inlineStr"/>
      <c r="C32" s="8" t="inlineStr">
        <is>
          <t>ТОЦ</t>
        </is>
      </c>
      <c r="D32" t="inlineStr"/>
      <c r="E32" t="inlineStr"/>
      <c r="F32" t="inlineStr"/>
      <c r="G32" t="inlineStr"/>
      <c r="H32" t="inlineStr"/>
      <c r="I32" t="inlineStr"/>
      <c r="J32" t="n">
        <v>184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184</v>
      </c>
    </row>
    <row r="33">
      <c r="A33" t="inlineStr"/>
      <c r="B33" t="inlineStr"/>
      <c r="C33" s="8" t="inlineStr">
        <is>
          <t>ПОЦ</t>
        </is>
      </c>
      <c r="D33" t="inlineStr"/>
      <c r="E33" t="inlineStr"/>
      <c r="F33" t="inlineStr"/>
      <c r="G33" t="inlineStr"/>
      <c r="H33" t="inlineStr"/>
      <c r="I33" t="inlineStr"/>
      <c r="J33" t="n">
        <v>172</v>
      </c>
      <c r="K33" t="inlineStr"/>
      <c r="L33" t="inlineStr"/>
      <c r="M33" t="inlineStr"/>
      <c r="N33" t="inlineStr"/>
      <c r="O33" t="inlineStr"/>
      <c r="P33" t="inlineStr"/>
      <c r="Q33" t="inlineStr"/>
      <c r="R33" t="n">
        <v>172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V2.01.not_color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2025-09-12T08:24:51Z</dcterms:created>
  <dcterms:modified xsi:type="dcterms:W3CDTF">2025-09-15T13:16:07Z</dcterms:modified>
  <cp:lastModifiedBy>Яковлев Николай Дмитриевич</cp:lastModifiedBy>
</cp:coreProperties>
</file>